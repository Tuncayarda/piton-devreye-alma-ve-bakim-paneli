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1F1F1F"/>
      <sz val="11"/>
    </font>
    <font>
      <name val="Calibri"/>
      <b val="1"/>
      <color rgb="FF1F1F1F"/>
      <sz val="13"/>
    </font>
    <font>
      <name val="Calibri"/>
      <b val="1"/>
      <color rgb="FFFFFFFF"/>
      <sz val="14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color rgb="FF1F1F1F"/>
      <sz val="11"/>
    </font>
  </fonts>
  <fills count="10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BDD7EE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EAF2F8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" fontId="6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49" fontId="6" fillId="3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49" fontId="6" fillId="7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7" customWidth="1" min="3" max="3"/>
    <col width="23" customWidth="1" min="4" max="4"/>
    <col width="14" customWidth="1" min="5" max="5"/>
    <col width="14" customWidth="1" min="6" max="6"/>
    <col width="18" customWidth="1" min="7" max="7"/>
    <col width="15" customWidth="1" min="8" max="8"/>
    <col width="22" customWidth="1" min="9" max="9"/>
    <col width="15" customWidth="1" min="10" max="10"/>
    <col width="18" customWidth="1" min="11" max="11"/>
    <col width="18" customWidth="1" min="12" max="12"/>
    <col width="17" customWidth="1" min="13" max="13"/>
    <col width="16" customWidth="1" min="14" max="14"/>
    <col width="14" customWidth="1" min="15" max="15"/>
    <col width="14" customWidth="1" min="16" max="16"/>
    <col width="12" customWidth="1" min="17" max="17"/>
    <col width="12" customWidth="1" min="18" max="18"/>
    <col width="14" customWidth="1" min="19" max="19"/>
    <col width="13" customWidth="1" min="20" max="20"/>
    <col width="13" customWidth="1" min="21" max="21"/>
    <col width="16" customWidth="1" min="22" max="22"/>
    <col width="16" customWidth="1" min="23" max="23"/>
  </cols>
  <sheetData>
    <row r="1" ht="30" customHeight="1">
      <c r="A1" s="1" t="inlineStr">
        <is>
          <t>Set No</t>
        </is>
      </c>
      <c r="B1" s="2" t="n">
        <v>1</v>
      </c>
      <c r="C1" s="3" t="inlineStr">
        <is>
          <t>Yellow cells are filled in by hand. Enter the set number in B1; the 'n' in the IP templates resolves to it automatically.</t>
        </is>
      </c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</row>
    <row r="2" ht="22" customHeight="1">
      <c r="A2" s="5" t="inlineStr">
        <is>
          <t>FUAR — FIELD DEVICE VERIFICATION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1" t="n"/>
    </row>
    <row r="3" ht="20" customHeight="1">
      <c r="A3" s="6" t="inlineStr">
        <is>
          <t>PHYSICAL CHECK</t>
        </is>
      </c>
      <c r="B3" s="20" t="n"/>
      <c r="C3" s="21" t="n"/>
      <c r="D3" s="6" t="inlineStr">
        <is>
          <t>VERIFICATION CRITERIA</t>
        </is>
      </c>
      <c r="E3" s="20" t="n"/>
      <c r="F3" s="20" t="n"/>
      <c r="G3" s="20" t="n"/>
      <c r="H3" s="21" t="n"/>
      <c r="I3" s="6" t="inlineStr">
        <is>
          <t>SOFTWARE CHECK</t>
        </is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1" t="n"/>
    </row>
    <row r="4" ht="34" customHeight="1">
      <c r="A4" s="7" t="inlineStr">
        <is>
          <t>Section</t>
        </is>
      </c>
      <c r="B4" s="7" t="inlineStr">
        <is>
          <t>Switch</t>
        </is>
      </c>
      <c r="C4" s="7" t="inlineStr">
        <is>
          <t>Port</t>
        </is>
      </c>
      <c r="D4" s="7" t="inlineStr">
        <is>
          <t>Device definition</t>
        </is>
      </c>
      <c r="E4" s="7" t="inlineStr">
        <is>
          <t>IP template</t>
        </is>
      </c>
      <c r="F4" s="7" t="inlineStr">
        <is>
          <t>Expected IP</t>
        </is>
      </c>
      <c r="G4" s="7" t="inlineStr">
        <is>
          <t>Expected version</t>
        </is>
      </c>
      <c r="H4" s="7" t="inlineStr">
        <is>
          <t>Expected SIP extension</t>
        </is>
      </c>
      <c r="I4" s="7" t="inlineStr">
        <is>
          <t>Device name</t>
        </is>
      </c>
      <c r="J4" s="7" t="inlineStr">
        <is>
          <t>Connection info</t>
        </is>
      </c>
      <c r="K4" s="7" t="inlineStr">
        <is>
          <t>Version</t>
        </is>
      </c>
      <c r="L4" s="7" t="inlineStr">
        <is>
          <t>Device number</t>
        </is>
      </c>
      <c r="M4" s="7" t="inlineStr">
        <is>
          <t>Status description</t>
        </is>
      </c>
      <c r="N4" s="7" t="inlineStr">
        <is>
          <t>Uptime</t>
        </is>
      </c>
      <c r="O4" s="7" t="inlineStr">
        <is>
          <t>Speaker volume</t>
        </is>
      </c>
      <c r="P4" s="7" t="inlineStr">
        <is>
          <t>Microphone volume</t>
        </is>
      </c>
      <c r="Q4" s="7" t="inlineStr">
        <is>
          <t>Speaker gain</t>
        </is>
      </c>
      <c r="R4" s="7" t="inlineStr">
        <is>
          <t>Microphone gain</t>
        </is>
      </c>
      <c r="S4" s="7" t="inlineStr">
        <is>
          <t>SIP PBX IP</t>
        </is>
      </c>
      <c r="T4" s="7" t="inlineStr">
        <is>
          <t>SIP extension</t>
        </is>
      </c>
      <c r="U4" s="7" t="inlineStr">
        <is>
          <t>SIP outbound number</t>
        </is>
      </c>
      <c r="V4" s="7" t="inlineStr">
        <is>
          <t>Time zone</t>
        </is>
      </c>
      <c r="W4" s="7" t="inlineStr">
        <is>
          <t>Network/time check</t>
        </is>
      </c>
    </row>
    <row r="5" ht="19" customHeight="1">
      <c r="A5" s="8" t="inlineStr">
        <is>
          <t xml:space="preserve">  Switch   ·   1 records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1" t="n"/>
    </row>
    <row r="6" ht="17.25" customHeight="1">
      <c r="A6" s="9" t="inlineStr">
        <is>
          <t>Fuar</t>
        </is>
      </c>
      <c r="B6" s="10" t="inlineStr">
        <is>
          <t>Mc1_1</t>
        </is>
      </c>
      <c r="C6" s="11" t="n"/>
      <c r="D6" s="10" t="inlineStr">
        <is>
          <t>Mc1_1</t>
        </is>
      </c>
      <c r="E6" s="10" t="inlineStr">
        <is>
          <t>10.1.1.100</t>
        </is>
      </c>
      <c r="F6" s="12">
        <f>IF($B$1="","",SUBSTITUTE(E6,"n",$B$1))</f>
        <v/>
      </c>
      <c r="G6" s="13" t="inlineStr">
        <is>
          <t>R2008 or R1002</t>
        </is>
      </c>
      <c r="H6" s="14" t="n"/>
      <c r="I6" s="15" t="n"/>
      <c r="J6" s="15" t="n"/>
      <c r="K6" s="15" t="n"/>
      <c r="L6" s="14" t="n"/>
      <c r="M6" s="15" t="n"/>
      <c r="N6" s="16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</row>
    <row r="7" ht="17.25" customHeight="1">
      <c r="A7" s="8" t="inlineStr">
        <is>
          <t xml:space="preserve">  Announcement · Intercom   ·   1 records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1" t="n"/>
    </row>
    <row r="8" ht="19" customHeight="1">
      <c r="A8" s="9" t="inlineStr">
        <is>
          <t>Fuar</t>
        </is>
      </c>
      <c r="B8" s="10" t="inlineStr">
        <is>
          <t>Mc1_1</t>
        </is>
      </c>
      <c r="C8" s="11" t="inlineStr">
        <is>
          <t>1</t>
        </is>
      </c>
      <c r="D8" s="10" t="inlineStr">
        <is>
          <t>Intercom_Mc1_1</t>
        </is>
      </c>
      <c r="E8" s="10" t="inlineStr">
        <is>
          <t>10.1.1.10</t>
        </is>
      </c>
      <c r="F8" s="12">
        <f>IF($B$1="","",SUBSTITUTE(E8,"n",$B$1))</f>
        <v/>
      </c>
      <c r="G8" s="13" t="inlineStr">
        <is>
          <t>1.2.8</t>
        </is>
      </c>
      <c r="H8" s="17" t="n"/>
      <c r="I8" s="15" t="n"/>
      <c r="J8" s="15" t="n"/>
      <c r="K8" s="15" t="n"/>
      <c r="L8" s="15" t="n"/>
      <c r="M8" s="15" t="n"/>
      <c r="N8" s="16" t="n"/>
      <c r="O8" s="16" t="n"/>
      <c r="P8" s="16" t="n"/>
      <c r="Q8" s="11" t="n"/>
      <c r="R8" s="11" t="n"/>
      <c r="S8" s="15" t="n"/>
      <c r="T8" s="16" t="n"/>
      <c r="U8" s="16" t="n"/>
      <c r="V8" s="14" t="n"/>
      <c r="W8" s="14" t="n"/>
    </row>
    <row r="9" ht="17.25" customHeight="1">
      <c r="A9" s="8" t="inlineStr">
        <is>
          <t xml:space="preserve">  Announcement · Amplifier   ·   1 records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1" t="n"/>
    </row>
    <row r="10" ht="19" customHeight="1">
      <c r="A10" s="9" t="inlineStr">
        <is>
          <t>Fuar</t>
        </is>
      </c>
      <c r="B10" s="10" t="inlineStr">
        <is>
          <t>Mc1_1</t>
        </is>
      </c>
      <c r="C10" s="11" t="inlineStr">
        <is>
          <t>5</t>
        </is>
      </c>
      <c r="D10" s="10" t="inlineStr">
        <is>
          <t>Amplifier_Mc1_1</t>
        </is>
      </c>
      <c r="E10" s="10" t="inlineStr">
        <is>
          <t>10.1.1.5</t>
        </is>
      </c>
      <c r="F10" s="12">
        <f>IF($B$1="","",SUBSTITUTE(E10,"n",$B$1))</f>
        <v/>
      </c>
      <c r="G10" s="13" t="inlineStr">
        <is>
          <t>1.2.8</t>
        </is>
      </c>
      <c r="H10" s="17" t="n"/>
      <c r="I10" s="15" t="n"/>
      <c r="J10" s="15" t="n"/>
      <c r="K10" s="15" t="n"/>
      <c r="L10" s="15" t="n"/>
      <c r="M10" s="15" t="n"/>
      <c r="N10" s="16" t="n"/>
      <c r="O10" s="16" t="n"/>
      <c r="P10" s="16" t="n"/>
      <c r="Q10" s="11" t="n"/>
      <c r="R10" s="11" t="n"/>
      <c r="S10" s="15" t="n"/>
      <c r="T10" s="16" t="n"/>
      <c r="U10" s="14" t="n"/>
      <c r="V10" s="14" t="n"/>
      <c r="W10" s="14" t="n"/>
    </row>
    <row r="11" ht="17.25" customHeight="1">
      <c r="A11" s="8" t="inlineStr">
        <is>
          <t xml:space="preserve">  Announcement · Handset   ·   1 records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1" t="n"/>
    </row>
    <row r="12" ht="19" customHeight="1">
      <c r="A12" s="9" t="inlineStr">
        <is>
          <t>Fuar</t>
        </is>
      </c>
      <c r="B12" s="10" t="inlineStr">
        <is>
          <t>Mc1_1</t>
        </is>
      </c>
      <c r="C12" s="11" t="inlineStr">
        <is>
          <t>6</t>
        </is>
      </c>
      <c r="D12" s="10" t="inlineStr">
        <is>
          <t>Handset_Mic_Mc1_1</t>
        </is>
      </c>
      <c r="E12" s="10" t="inlineStr">
        <is>
          <t>10.1.1.8</t>
        </is>
      </c>
      <c r="F12" s="12">
        <f>IF($B$1="","",SUBSTITUTE(E12,"n",$B$1))</f>
        <v/>
      </c>
      <c r="G12" s="13" t="inlineStr">
        <is>
          <t>1.2.8</t>
        </is>
      </c>
      <c r="H12" s="17" t="n"/>
      <c r="I12" s="15" t="n"/>
      <c r="J12" s="15" t="n"/>
      <c r="K12" s="15" t="n"/>
      <c r="L12" s="15" t="n"/>
      <c r="M12" s="15" t="n"/>
      <c r="N12" s="16" t="n"/>
      <c r="O12" s="16" t="n"/>
      <c r="P12" s="16" t="n"/>
      <c r="Q12" s="11" t="n"/>
      <c r="R12" s="11" t="n"/>
      <c r="S12" s="15" t="n"/>
      <c r="T12" s="16" t="n"/>
      <c r="U12" s="16" t="n"/>
      <c r="V12" s="14" t="n"/>
      <c r="W12" s="14" t="n"/>
    </row>
    <row r="13" ht="17.25" customHeight="1">
      <c r="A13" s="8" t="inlineStr">
        <is>
          <t xml:space="preserve">  Camera · Front   ·   1 records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1" t="n"/>
    </row>
    <row r="14" ht="19" customHeight="1">
      <c r="A14" s="9" t="inlineStr">
        <is>
          <t>Fuar</t>
        </is>
      </c>
      <c r="B14" s="10" t="inlineStr">
        <is>
          <t>Mc1_1</t>
        </is>
      </c>
      <c r="C14" s="11" t="inlineStr">
        <is>
          <t>7</t>
        </is>
      </c>
      <c r="D14" s="10" t="inlineStr">
        <is>
          <t>Front_Cam_Mc1_1</t>
        </is>
      </c>
      <c r="E14" s="10" t="inlineStr">
        <is>
          <t>10.1.1.21</t>
        </is>
      </c>
      <c r="F14" s="12">
        <f>IF($B$1="","",SUBSTITUTE(E14,"n",$B$1))</f>
        <v/>
      </c>
      <c r="G14" s="13" t="inlineStr">
        <is>
          <t>V1.4.1build260128 741107</t>
        </is>
      </c>
      <c r="H14" s="14" t="n"/>
      <c r="I14" s="15" t="n"/>
      <c r="J14" s="15" t="n"/>
      <c r="K14" s="15" t="n"/>
      <c r="L14" s="15" t="n"/>
      <c r="M14" s="15" t="n"/>
      <c r="N14" s="16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5" t="n"/>
    </row>
    <row r="15" ht="17.25" customHeight="1">
      <c r="A15" s="8" t="inlineStr">
        <is>
          <t xml:space="preserve">  Camera · Cabin   ·   1 records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1" t="n"/>
    </row>
    <row r="16" ht="17.25" customHeight="1">
      <c r="A16" s="9" t="inlineStr">
        <is>
          <t>Fuar</t>
        </is>
      </c>
      <c r="B16" s="10" t="inlineStr">
        <is>
          <t>Mc1_1</t>
        </is>
      </c>
      <c r="C16" s="11" t="inlineStr">
        <is>
          <t>8</t>
        </is>
      </c>
      <c r="D16" s="10" t="inlineStr">
        <is>
          <t>Cabin_Cam_Mc1_1</t>
        </is>
      </c>
      <c r="E16" s="10" t="inlineStr">
        <is>
          <t>10.1.1.24</t>
        </is>
      </c>
      <c r="F16" s="12">
        <f>IF($B$1="","",SUBSTITUTE(E16,"n",$B$1))</f>
        <v/>
      </c>
      <c r="G16" s="13" t="inlineStr">
        <is>
          <t>V1.4.1build260128 741107</t>
        </is>
      </c>
      <c r="H16" s="14" t="n"/>
      <c r="I16" s="15" t="n"/>
      <c r="J16" s="15" t="n"/>
      <c r="K16" s="15" t="n"/>
      <c r="L16" s="15" t="n"/>
      <c r="M16" s="15" t="n"/>
      <c r="N16" s="16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5" t="n"/>
    </row>
    <row r="17" ht="19" customHeight="1">
      <c r="A17" s="8" t="inlineStr">
        <is>
          <t xml:space="preserve">  Announcement · Swanneck   ·   1 records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1" t="n"/>
    </row>
    <row r="18" ht="17.25" customHeight="1">
      <c r="A18" s="9" t="inlineStr">
        <is>
          <t>Fuar</t>
        </is>
      </c>
      <c r="B18" s="10" t="inlineStr">
        <is>
          <t>Mc1_1</t>
        </is>
      </c>
      <c r="C18" s="11" t="inlineStr">
        <is>
          <t>9</t>
        </is>
      </c>
      <c r="D18" s="10" t="inlineStr">
        <is>
          <t>Swanneck_Mic_Mc1_1</t>
        </is>
      </c>
      <c r="E18" s="10" t="inlineStr">
        <is>
          <t>10.1.1.7</t>
        </is>
      </c>
      <c r="F18" s="12">
        <f>IF($B$1="","",SUBSTITUTE(E18,"n",$B$1))</f>
        <v/>
      </c>
      <c r="G18" s="13" t="inlineStr">
        <is>
          <t>1.2.8</t>
        </is>
      </c>
      <c r="H18" s="17" t="n"/>
      <c r="I18" s="15" t="n"/>
      <c r="J18" s="15" t="n"/>
      <c r="K18" s="15" t="n"/>
      <c r="L18" s="15" t="n"/>
      <c r="M18" s="15" t="n"/>
      <c r="N18" s="16" t="n"/>
      <c r="O18" s="16" t="n"/>
      <c r="P18" s="16" t="n"/>
      <c r="Q18" s="11" t="n"/>
      <c r="R18" s="11" t="n"/>
      <c r="S18" s="15" t="n"/>
      <c r="T18" s="16" t="n"/>
      <c r="U18" s="16" t="n"/>
      <c r="V18" s="14" t="n"/>
      <c r="W18" s="14" t="n"/>
    </row>
    <row r="19" ht="17.25" customHeight="1">
      <c r="A19" s="8" t="inlineStr">
        <is>
          <t xml:space="preserve">  HMI   ·   2 records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1" t="n"/>
    </row>
    <row r="20" ht="19" customHeight="1">
      <c r="A20" s="9" t="inlineStr">
        <is>
          <t>Fuar</t>
        </is>
      </c>
      <c r="B20" s="10" t="inlineStr">
        <is>
          <t>Mc1_1</t>
        </is>
      </c>
      <c r="C20" s="11" t="inlineStr">
        <is>
          <t>10</t>
        </is>
      </c>
      <c r="D20" s="10" t="inlineStr">
        <is>
          <t>Hmi_1_Mc1_1</t>
        </is>
      </c>
      <c r="E20" s="10" t="inlineStr">
        <is>
          <t>10.1.1.4</t>
        </is>
      </c>
      <c r="F20" s="12">
        <f>IF($B$1="","",SUBSTITUTE(E20,"n",$B$1))</f>
        <v/>
      </c>
      <c r="G20" s="13" t="inlineStr">
        <is>
          <t>1.0.0</t>
        </is>
      </c>
      <c r="H20" s="14" t="n"/>
      <c r="I20" s="15" t="n"/>
      <c r="J20" s="15" t="n"/>
      <c r="K20" s="15" t="n"/>
      <c r="L20" s="15" t="n"/>
      <c r="M20" s="15" t="n"/>
      <c r="N20" s="16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</row>
    <row r="21" ht="17.25" customHeight="1">
      <c r="A21" s="9" t="inlineStr">
        <is>
          <t>Fuar</t>
        </is>
      </c>
      <c r="B21" s="10" t="inlineStr">
        <is>
          <t>Mc1_1</t>
        </is>
      </c>
      <c r="C21" s="11" t="inlineStr">
        <is>
          <t>11</t>
        </is>
      </c>
      <c r="D21" s="10" t="inlineStr">
        <is>
          <t>Hmi_2_Mc1_1</t>
        </is>
      </c>
      <c r="E21" s="10" t="inlineStr">
        <is>
          <t>10.1.4.4</t>
        </is>
      </c>
      <c r="F21" s="12">
        <f>IF($B$1="","",SUBSTITUTE(E21,"n",$B$1))</f>
        <v/>
      </c>
      <c r="G21" s="13" t="inlineStr">
        <is>
          <t>1.0.0</t>
        </is>
      </c>
      <c r="H21" s="14" t="n"/>
      <c r="I21" s="15" t="n"/>
      <c r="J21" s="15" t="n"/>
      <c r="K21" s="15" t="n"/>
      <c r="L21" s="15" t="n"/>
      <c r="M21" s="15" t="n"/>
      <c r="N21" s="16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</row>
    <row r="22" ht="17.25" customHeight="1">
      <c r="A22" s="8" t="inlineStr">
        <is>
          <t xml:space="preserve">  LED · Front   ·   1 records</t>
        </is>
      </c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</row>
    <row r="23" ht="19" customHeight="1">
      <c r="A23" s="9" t="inlineStr">
        <is>
          <t>Fuar</t>
        </is>
      </c>
      <c r="B23" s="10" t="inlineStr">
        <is>
          <t>Mc1_1</t>
        </is>
      </c>
      <c r="C23" s="11" t="inlineStr">
        <is>
          <t>12</t>
        </is>
      </c>
      <c r="D23" s="10" t="inlineStr">
        <is>
          <t>Front_LED_Mc1_1</t>
        </is>
      </c>
      <c r="E23" s="10" t="inlineStr">
        <is>
          <t>10.1.1.40</t>
        </is>
      </c>
      <c r="F23" s="12">
        <f>IF($B$1="","",SUBSTITUTE(E23,"n",$B$1))</f>
        <v/>
      </c>
      <c r="G23" s="13" t="inlineStr">
        <is>
          <t>7 or newer</t>
        </is>
      </c>
      <c r="H23" s="14" t="n"/>
      <c r="I23" s="15" t="n"/>
      <c r="J23" s="15" t="n"/>
      <c r="K23" s="15" t="n"/>
      <c r="L23" s="15" t="n"/>
      <c r="M23" s="15" t="n"/>
      <c r="N23" s="16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</row>
    <row r="24" ht="17.25" customHeight="1">
      <c r="A24" s="8" t="inlineStr">
        <is>
          <t xml:space="preserve">  LCD · Twin   ·   2 records</t>
        </is>
      </c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</row>
    <row r="25" ht="17.25" customHeight="1">
      <c r="A25" s="9" t="inlineStr">
        <is>
          <t>Fuar</t>
        </is>
      </c>
      <c r="B25" s="10" t="inlineStr">
        <is>
          <t>Mc1_1</t>
        </is>
      </c>
      <c r="C25" s="11" t="inlineStr">
        <is>
          <t>13</t>
        </is>
      </c>
      <c r="D25" s="10" t="inlineStr">
        <is>
          <t>Twin_LCD_1_Mc1_1</t>
        </is>
      </c>
      <c r="E25" s="10" t="inlineStr">
        <is>
          <t>10.1.1.45</t>
        </is>
      </c>
      <c r="F25" s="12">
        <f>IF($B$1="","",SUBSTITUTE(E25,"n",$B$1))</f>
        <v/>
      </c>
      <c r="G25" s="13" t="inlineStr">
        <is>
          <t>com.piton.train_lcd_panel 0.0.5</t>
        </is>
      </c>
      <c r="H25" s="17" t="n"/>
      <c r="I25" s="15" t="n"/>
      <c r="J25" s="15" t="n"/>
      <c r="K25" s="22" t="n"/>
      <c r="L25" s="15" t="n"/>
      <c r="M25" s="15" t="n"/>
      <c r="N25" s="16" t="n"/>
      <c r="O25" s="14" t="n"/>
      <c r="P25" s="14" t="n"/>
      <c r="Q25" s="14" t="n"/>
      <c r="R25" s="14" t="n"/>
      <c r="S25" s="15" t="n"/>
      <c r="T25" s="16" t="n"/>
      <c r="U25" s="14" t="n"/>
      <c r="V25" s="15" t="n"/>
      <c r="W25" s="14" t="n"/>
    </row>
    <row r="26" ht="17.25" customHeight="1">
      <c r="A26" s="9" t="inlineStr">
        <is>
          <t>Fuar</t>
        </is>
      </c>
      <c r="B26" s="10" t="inlineStr">
        <is>
          <t>Mc1_1</t>
        </is>
      </c>
      <c r="C26" s="11" t="inlineStr">
        <is>
          <t>16</t>
        </is>
      </c>
      <c r="D26" s="10" t="inlineStr">
        <is>
          <t>Twin_LCD_2_Mc1_1</t>
        </is>
      </c>
      <c r="E26" s="10" t="inlineStr">
        <is>
          <t>10.1.1.46</t>
        </is>
      </c>
      <c r="F26" s="12">
        <f>IF($B$1="","",SUBSTITUTE(E26,"n",$B$1))</f>
        <v/>
      </c>
      <c r="G26" s="13" t="inlineStr">
        <is>
          <t>com.piton.train_lcd_panel 0.0.5</t>
        </is>
      </c>
      <c r="H26" s="17" t="n"/>
      <c r="I26" s="15" t="n"/>
      <c r="J26" s="15" t="n"/>
      <c r="K26" s="22" t="n"/>
      <c r="L26" s="15" t="n"/>
      <c r="M26" s="15" t="n"/>
      <c r="N26" s="16" t="n"/>
      <c r="O26" s="14" t="n"/>
      <c r="P26" s="14" t="n"/>
      <c r="Q26" s="14" t="n"/>
      <c r="R26" s="14" t="n"/>
      <c r="S26" s="15" t="n"/>
      <c r="T26" s="16" t="n"/>
      <c r="U26" s="14" t="n"/>
      <c r="V26" s="15" t="n"/>
      <c r="W26" s="14" t="n"/>
    </row>
    <row r="27" ht="17.25" customHeight="1">
      <c r="A27" s="8" t="inlineStr">
        <is>
          <t xml:space="preserve">  PISCU · Master   ·   1 records</t>
        </is>
      </c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1" t="n"/>
    </row>
    <row r="28" ht="17.25" customHeight="1">
      <c r="A28" s="9" t="inlineStr">
        <is>
          <t>Fuar</t>
        </is>
      </c>
      <c r="B28" s="10" t="inlineStr">
        <is>
          <t>Mc1_1</t>
        </is>
      </c>
      <c r="C28" s="11" t="inlineStr">
        <is>
          <t>14</t>
        </is>
      </c>
      <c r="D28" s="10" t="inlineStr">
        <is>
          <t>Piscu_Mc1_1</t>
        </is>
      </c>
      <c r="E28" s="10" t="inlineStr">
        <is>
          <t>10.1.1.1</t>
        </is>
      </c>
      <c r="F28" s="12">
        <f>IF($B$1="","",SUBSTITUTE(E28,"n",$B$1))</f>
        <v/>
      </c>
      <c r="G28" s="13" t="inlineStr">
        <is>
          <t>1.0.0</t>
        </is>
      </c>
      <c r="H28" s="14" t="n"/>
      <c r="I28" s="15" t="n"/>
      <c r="J28" s="15" t="n"/>
      <c r="K28" s="15" t="n"/>
      <c r="L28" s="15" t="n"/>
      <c r="M28" s="15" t="n"/>
      <c r="N28" s="16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</row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9" customHeight="1"/>
    <row r="36" ht="17.25" customHeight="1"/>
    <row r="37" ht="19" customHeight="1"/>
    <row r="38" ht="17.25" customHeight="1"/>
    <row r="39" ht="19" customHeight="1"/>
    <row r="40" ht="17.25" customHeight="1"/>
    <row r="41" ht="19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9" customHeight="1"/>
    <row r="55" ht="17.25" customHeight="1"/>
    <row r="56" ht="17.25" customHeight="1"/>
    <row r="57" ht="19" customHeight="1"/>
    <row r="58" ht="17.25" customHeight="1"/>
    <row r="59" ht="17.25" customHeight="1"/>
    <row r="60" ht="19" customHeight="1"/>
    <row r="61" ht="17.25" customHeight="1"/>
    <row r="65" ht="16" customHeight="1"/>
  </sheetData>
  <mergeCells count="16">
    <mergeCell ref="A13:W13"/>
    <mergeCell ref="A9:W9"/>
    <mergeCell ref="C1:W1"/>
    <mergeCell ref="A3:C3"/>
    <mergeCell ref="A15:W15"/>
    <mergeCell ref="A24:W24"/>
    <mergeCell ref="A11:W11"/>
    <mergeCell ref="I3:W3"/>
    <mergeCell ref="A7:W7"/>
    <mergeCell ref="A27:W27"/>
    <mergeCell ref="A2:W2"/>
    <mergeCell ref="D3:H3"/>
    <mergeCell ref="A17:W17"/>
    <mergeCell ref="A5:W5"/>
    <mergeCell ref="A22:W22"/>
    <mergeCell ref="A19:W19"/>
  </mergeCells>
  <conditionalFormatting sqref="M6:M61">
    <cfRule type="expression" priority="1" dxfId="0">
      <formula>M6="Aktif"</formula>
    </cfRule>
    <cfRule type="expression" priority="2" dxfId="1">
      <formula>LEFT(M6,5)="Pasif"</formula>
    </cfRule>
  </conditionalFormatting>
  <conditionalFormatting sqref="T6:T61">
    <cfRule type="expression" priority="3" dxfId="1">
      <formula>AND(T6&lt;&gt;"",H6&lt;&gt;"",T6&lt;&gt;H6)</formula>
    </cfRule>
    <cfRule type="expression" priority="4" dxfId="0">
      <formula>AND(T6&lt;&gt;"",T6=H6)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2026-07-31T07:53:57Z</dcterms:created>
  <dcterms:modified xmlns:dcterms="http://purl.org/dc/terms/" xmlns:xsi="http://www.w3.org/2001/XMLSchema-instance" xsi:type="dcterms:W3CDTF">2026-08-29T07:49:42Z</dcterms:modified>
</cp:coreProperties>
</file>