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YATAKLI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2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Yataklı</t>
        </is>
      </c>
      <c r="B6" s="10" t="inlineStr">
        <is>
          <t>Yataklı_1</t>
        </is>
      </c>
      <c r="C6" s="11" t="n"/>
      <c r="D6" s="10" t="inlineStr">
        <is>
          <t>Yataklı_1</t>
        </is>
      </c>
      <c r="E6" s="10" t="inlineStr">
        <is>
          <t>10.n.1.100</t>
        </is>
      </c>
      <c r="F6" s="12">
        <f>IF($B$1="","",SUBSTITUTE(E6,"n",$B$1))</f>
        <v/>
      </c>
      <c r="G6" s="13" t="inlineStr">
        <is>
          <t>R2008 or R1002</t>
        </is>
      </c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9" t="inlineStr">
        <is>
          <t>Yataklı</t>
        </is>
      </c>
      <c r="B7" s="10" t="inlineStr">
        <is>
          <t>Yataklı_2</t>
        </is>
      </c>
      <c r="C7" s="11" t="n"/>
      <c r="D7" s="10" t="inlineStr">
        <is>
          <t>Yataklı_2</t>
        </is>
      </c>
      <c r="E7" s="10" t="inlineStr">
        <is>
          <t>10.n.1.101</t>
        </is>
      </c>
      <c r="F7" s="12">
        <f>IF($B$1="","",SUBSTITUTE(E7,"n",$B$1))</f>
        <v/>
      </c>
      <c r="G7" s="13" t="inlineStr">
        <is>
          <t>R2008 or R1002</t>
        </is>
      </c>
      <c r="H7" s="14" t="n"/>
      <c r="I7" s="15" t="n"/>
      <c r="J7" s="15" t="n"/>
      <c r="K7" s="15" t="n"/>
      <c r="L7" s="14" t="n"/>
      <c r="M7" s="15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9" customHeight="1">
      <c r="A8" s="8" t="inlineStr">
        <is>
          <t xml:space="preserve">  Camera · Corridor   ·   2 records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</row>
    <row r="9" ht="17.25" customHeight="1">
      <c r="A9" s="9" t="inlineStr">
        <is>
          <t>Yataklı</t>
        </is>
      </c>
      <c r="B9" s="10" t="inlineStr">
        <is>
          <t>Yataklı_1</t>
        </is>
      </c>
      <c r="C9" s="11" t="inlineStr">
        <is>
          <t>1</t>
        </is>
      </c>
      <c r="D9" s="10" t="inlineStr">
        <is>
          <t>Corridor_Cam_1</t>
        </is>
      </c>
      <c r="E9" s="10" t="inlineStr">
        <is>
          <t>10.n.1.24</t>
        </is>
      </c>
      <c r="F9" s="12">
        <f>IF($B$1="","",SUBSTITUTE(E9,"n",$B$1))</f>
        <v/>
      </c>
      <c r="G9" s="13" t="inlineStr">
        <is>
          <t>V1.4.1build260128 741107</t>
        </is>
      </c>
      <c r="H9" s="14" t="n"/>
      <c r="I9" s="15" t="n"/>
      <c r="J9" s="15" t="n"/>
      <c r="K9" s="15" t="n"/>
      <c r="L9" s="15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5" t="n"/>
    </row>
    <row r="10" ht="19" customHeight="1">
      <c r="A10" s="9" t="inlineStr">
        <is>
          <t>Yataklı</t>
        </is>
      </c>
      <c r="B10" s="10" t="inlineStr">
        <is>
          <t>Yataklı_1</t>
        </is>
      </c>
      <c r="C10" s="11" t="inlineStr">
        <is>
          <t>2</t>
        </is>
      </c>
      <c r="D10" s="10" t="inlineStr">
        <is>
          <t>Corridor_Cam_2</t>
        </is>
      </c>
      <c r="E10" s="10" t="inlineStr">
        <is>
          <t>10.n.1.25</t>
        </is>
      </c>
      <c r="F10" s="12">
        <f>IF($B$1="","",SUBSTITUTE(E10,"n",$B$1))</f>
        <v/>
      </c>
      <c r="G10" s="13" t="inlineStr">
        <is>
          <t>V1.4.1build260128 741107</t>
        </is>
      </c>
      <c r="H10" s="14" t="n"/>
      <c r="I10" s="15" t="n"/>
      <c r="J10" s="15" t="n"/>
      <c r="K10" s="15" t="n"/>
      <c r="L10" s="15" t="n"/>
      <c r="M10" s="15" t="n"/>
      <c r="N10" s="16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5" t="n"/>
    </row>
    <row r="11" ht="17.25" customHeight="1">
      <c r="A11" s="8" t="inlineStr">
        <is>
          <t xml:space="preserve">  Camera · Landing   ·   2 records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1" t="n"/>
    </row>
    <row r="12" ht="19" customHeight="1">
      <c r="A12" s="9" t="inlineStr">
        <is>
          <t>Yataklı</t>
        </is>
      </c>
      <c r="B12" s="10" t="inlineStr">
        <is>
          <t>Yataklı_1</t>
        </is>
      </c>
      <c r="C12" s="11" t="inlineStr">
        <is>
          <t>3</t>
        </is>
      </c>
      <c r="D12" s="10" t="inlineStr">
        <is>
          <t>Landing_Cam_1</t>
        </is>
      </c>
      <c r="E12" s="10" t="inlineStr">
        <is>
          <t>10.n.1.26</t>
        </is>
      </c>
      <c r="F12" s="12">
        <f>IF($B$1="","",SUBSTITUTE(E12,"n",$B$1))</f>
        <v/>
      </c>
      <c r="G12" s="13" t="inlineStr">
        <is>
          <t>V1.4.1build260128 741107</t>
        </is>
      </c>
      <c r="H12" s="14" t="n"/>
      <c r="I12" s="15" t="n"/>
      <c r="J12" s="15" t="n"/>
      <c r="K12" s="15" t="n"/>
      <c r="L12" s="15" t="n"/>
      <c r="M12" s="15" t="n"/>
      <c r="N12" s="16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5" t="n"/>
    </row>
    <row r="13" ht="17.25" customHeight="1">
      <c r="A13" s="9" t="inlineStr">
        <is>
          <t>Yataklı</t>
        </is>
      </c>
      <c r="B13" s="10" t="inlineStr">
        <is>
          <t>Yataklı_1</t>
        </is>
      </c>
      <c r="C13" s="11" t="inlineStr">
        <is>
          <t>4</t>
        </is>
      </c>
      <c r="D13" s="10" t="inlineStr">
        <is>
          <t>Landing_Cam_2</t>
        </is>
      </c>
      <c r="E13" s="10" t="inlineStr">
        <is>
          <t>10.n.1.27</t>
        </is>
      </c>
      <c r="F13" s="12">
        <f>IF($B$1="","",SUBSTITUTE(E13,"n",$B$1))</f>
        <v/>
      </c>
      <c r="G13" s="13" t="inlineStr">
        <is>
          <t>V1.4.1build260128 741107</t>
        </is>
      </c>
      <c r="H13" s="14" t="n"/>
      <c r="I13" s="15" t="n"/>
      <c r="J13" s="15" t="n"/>
      <c r="K13" s="15" t="n"/>
      <c r="L13" s="15" t="n"/>
      <c r="M13" s="15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5" t="n"/>
    </row>
    <row r="14" ht="19" customHeight="1">
      <c r="A14" s="8" t="inlineStr">
        <is>
          <t xml:space="preserve">  PISCU   ·   1 records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</row>
    <row r="15" ht="17.25" customHeight="1">
      <c r="A15" s="9" t="inlineStr">
        <is>
          <t>Yataklı</t>
        </is>
      </c>
      <c r="B15" s="10" t="inlineStr">
        <is>
          <t>Yataklı_1</t>
        </is>
      </c>
      <c r="C15" s="11" t="inlineStr">
        <is>
          <t>7</t>
        </is>
      </c>
      <c r="D15" s="10" t="inlineStr">
        <is>
          <t>Piscu</t>
        </is>
      </c>
      <c r="E15" s="10" t="inlineStr">
        <is>
          <t>10.n.1.1</t>
        </is>
      </c>
      <c r="F15" s="12">
        <f>IF($B$1="","",SUBSTITUTE(E15,"n",$B$1))</f>
        <v/>
      </c>
      <c r="G15" s="13" t="inlineStr">
        <is>
          <t>1.2.7</t>
        </is>
      </c>
      <c r="H15" s="14" t="n"/>
      <c r="I15" s="15" t="n"/>
      <c r="J15" s="15" t="n"/>
      <c r="K15" s="15" t="n"/>
      <c r="L15" s="15" t="n"/>
      <c r="M15" s="15" t="n"/>
      <c r="N15" s="16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7.25" customHeight="1">
      <c r="A16" s="8" t="inlineStr">
        <is>
          <t xml:space="preserve">  LCD · Landing   ·   2 records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</row>
    <row r="17" ht="19" customHeight="1">
      <c r="A17" s="9" t="inlineStr">
        <is>
          <t>Yataklı</t>
        </is>
      </c>
      <c r="B17" s="10" t="inlineStr">
        <is>
          <t>Yataklı_1</t>
        </is>
      </c>
      <c r="C17" s="11" t="inlineStr">
        <is>
          <t>11</t>
        </is>
      </c>
      <c r="D17" s="10" t="inlineStr">
        <is>
          <t>Landing_Lcd_1</t>
        </is>
      </c>
      <c r="E17" s="10" t="inlineStr">
        <is>
          <t>10.n.1.51</t>
        </is>
      </c>
      <c r="F17" s="12">
        <f>IF($B$1="","",SUBSTITUTE(E17,"n",$B$1))</f>
        <v/>
      </c>
      <c r="G17" s="13" t="inlineStr">
        <is>
          <t>com.piton.train_lcd_panel 0.0.5</t>
        </is>
      </c>
      <c r="H17" s="14" t="n"/>
      <c r="I17" s="15" t="n"/>
      <c r="J17" s="15" t="n"/>
      <c r="K17" s="15" t="n"/>
      <c r="L17" s="15" t="n"/>
      <c r="M17" s="15" t="n"/>
      <c r="N17" s="16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 ht="17.25" customHeight="1">
      <c r="A18" s="9" t="inlineStr">
        <is>
          <t>Yataklı</t>
        </is>
      </c>
      <c r="B18" s="10" t="inlineStr">
        <is>
          <t>Yataklı_1</t>
        </is>
      </c>
      <c r="C18" s="11" t="inlineStr">
        <is>
          <t>12</t>
        </is>
      </c>
      <c r="D18" s="10" t="inlineStr">
        <is>
          <t>Landing_Lcd_2</t>
        </is>
      </c>
      <c r="E18" s="10" t="inlineStr">
        <is>
          <t>10.n.1.52</t>
        </is>
      </c>
      <c r="F18" s="12">
        <f>IF($B$1="","",SUBSTITUTE(E18,"n",$B$1))</f>
        <v/>
      </c>
      <c r="G18" s="13" t="inlineStr">
        <is>
          <t>com.piton.train_lcd_panel 0.0.5</t>
        </is>
      </c>
      <c r="H18" s="14" t="n"/>
      <c r="I18" s="15" t="n"/>
      <c r="J18" s="15" t="n"/>
      <c r="K18" s="15" t="n"/>
      <c r="L18" s="15" t="n"/>
      <c r="M18" s="15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 ht="17.25" customHeight="1">
      <c r="A19" s="8" t="inlineStr">
        <is>
          <t xml:space="preserve">  LCD · Compartment   ·   11 records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</row>
    <row r="20" ht="19" customHeight="1">
      <c r="A20" s="9" t="inlineStr">
        <is>
          <t>Yataklı</t>
        </is>
      </c>
      <c r="B20" s="10" t="inlineStr">
        <is>
          <t>Yataklı_1</t>
        </is>
      </c>
      <c r="C20" s="11" t="inlineStr">
        <is>
          <t>13</t>
        </is>
      </c>
      <c r="D20" s="10" t="inlineStr">
        <is>
          <t>Compartment_Lcd_1</t>
        </is>
      </c>
      <c r="E20" s="10" t="inlineStr">
        <is>
          <t>10.n.1.40</t>
        </is>
      </c>
      <c r="F20" s="12">
        <f>IF($B$1="","",SUBSTITUTE(E20,"n",$B$1))</f>
        <v/>
      </c>
      <c r="G20" s="13" t="inlineStr">
        <is>
          <t>com.piton.train_lcd_panel 0.0.5</t>
        </is>
      </c>
      <c r="H20" s="17" t="n"/>
      <c r="I20" s="15" t="n"/>
      <c r="J20" s="15" t="n"/>
      <c r="K20" s="22" t="n"/>
      <c r="L20" s="15" t="n"/>
      <c r="M20" s="15" t="n"/>
      <c r="N20" s="16" t="n"/>
      <c r="O20" s="14" t="n"/>
      <c r="P20" s="14" t="n"/>
      <c r="Q20" s="14" t="n"/>
      <c r="R20" s="14" t="n"/>
      <c r="S20" s="15" t="n"/>
      <c r="T20" s="16" t="n"/>
      <c r="U20" s="14" t="n"/>
      <c r="V20" s="15" t="n"/>
      <c r="W20" s="14" t="n"/>
    </row>
    <row r="21" ht="17.25" customHeight="1">
      <c r="A21" s="9" t="inlineStr">
        <is>
          <t>Yataklı</t>
        </is>
      </c>
      <c r="B21" s="10" t="inlineStr">
        <is>
          <t>Yataklı_1</t>
        </is>
      </c>
      <c r="C21" s="11" t="inlineStr">
        <is>
          <t>14</t>
        </is>
      </c>
      <c r="D21" s="10" t="inlineStr">
        <is>
          <t>Compartment_Lcd_2</t>
        </is>
      </c>
      <c r="E21" s="10" t="inlineStr">
        <is>
          <t>10.n.1.41</t>
        </is>
      </c>
      <c r="F21" s="12">
        <f>IF($B$1="","",SUBSTITUTE(E21,"n",$B$1))</f>
        <v/>
      </c>
      <c r="G21" s="13" t="inlineStr">
        <is>
          <t>com.piton.train_lcd_panel 0.0.5</t>
        </is>
      </c>
      <c r="H21" s="17" t="n"/>
      <c r="I21" s="15" t="n"/>
      <c r="J21" s="15" t="n"/>
      <c r="K21" s="22" t="n"/>
      <c r="L21" s="15" t="n"/>
      <c r="M21" s="15" t="n"/>
      <c r="N21" s="16" t="n"/>
      <c r="O21" s="14" t="n"/>
      <c r="P21" s="14" t="n"/>
      <c r="Q21" s="14" t="n"/>
      <c r="R21" s="14" t="n"/>
      <c r="S21" s="15" t="n"/>
      <c r="T21" s="16" t="n"/>
      <c r="U21" s="14" t="n"/>
      <c r="V21" s="15" t="n"/>
      <c r="W21" s="14" t="n"/>
    </row>
    <row r="22" ht="17.25" customHeight="1">
      <c r="A22" s="9" t="inlineStr">
        <is>
          <t>Yataklı</t>
        </is>
      </c>
      <c r="B22" s="10" t="inlineStr">
        <is>
          <t>Yataklı_1</t>
        </is>
      </c>
      <c r="C22" s="11" t="inlineStr">
        <is>
          <t>15</t>
        </is>
      </c>
      <c r="D22" s="10" t="inlineStr">
        <is>
          <t>Compartment_Lcd_3</t>
        </is>
      </c>
      <c r="E22" s="10" t="inlineStr">
        <is>
          <t>10.n.1.42</t>
        </is>
      </c>
      <c r="F22" s="12">
        <f>IF($B$1="","",SUBSTITUTE(E22,"n",$B$1))</f>
        <v/>
      </c>
      <c r="G22" s="13" t="inlineStr">
        <is>
          <t>com.piton.train_lcd_panel 0.0.5</t>
        </is>
      </c>
      <c r="H22" s="17" t="n"/>
      <c r="I22" s="15" t="n"/>
      <c r="J22" s="15" t="n"/>
      <c r="K22" s="22" t="n"/>
      <c r="L22" s="15" t="n"/>
      <c r="M22" s="15" t="n"/>
      <c r="N22" s="16" t="n"/>
      <c r="O22" s="14" t="n"/>
      <c r="P22" s="14" t="n"/>
      <c r="Q22" s="14" t="n"/>
      <c r="R22" s="14" t="n"/>
      <c r="S22" s="15" t="n"/>
      <c r="T22" s="16" t="n"/>
      <c r="U22" s="14" t="n"/>
      <c r="V22" s="15" t="n"/>
      <c r="W22" s="14" t="n"/>
    </row>
    <row r="23" ht="19" customHeight="1">
      <c r="A23" s="9" t="inlineStr">
        <is>
          <t>Yataklı</t>
        </is>
      </c>
      <c r="B23" s="10" t="inlineStr">
        <is>
          <t>Yataklı_1</t>
        </is>
      </c>
      <c r="C23" s="11" t="inlineStr">
        <is>
          <t>16</t>
        </is>
      </c>
      <c r="D23" s="10" t="inlineStr">
        <is>
          <t>Compartment_Lcd_4</t>
        </is>
      </c>
      <c r="E23" s="10" t="inlineStr">
        <is>
          <t>10.n.1.43</t>
        </is>
      </c>
      <c r="F23" s="12">
        <f>IF($B$1="","",SUBSTITUTE(E23,"n",$B$1))</f>
        <v/>
      </c>
      <c r="G23" s="13" t="inlineStr">
        <is>
          <t>com.piton.train_lcd_panel 0.0.5</t>
        </is>
      </c>
      <c r="H23" s="17" t="n"/>
      <c r="I23" s="15" t="n"/>
      <c r="J23" s="15" t="n"/>
      <c r="K23" s="22" t="n"/>
      <c r="L23" s="15" t="n"/>
      <c r="M23" s="15" t="n"/>
      <c r="N23" s="16" t="n"/>
      <c r="O23" s="14" t="n"/>
      <c r="P23" s="14" t="n"/>
      <c r="Q23" s="14" t="n"/>
      <c r="R23" s="14" t="n"/>
      <c r="S23" s="15" t="n"/>
      <c r="T23" s="16" t="n"/>
      <c r="U23" s="14" t="n"/>
      <c r="V23" s="15" t="n"/>
      <c r="W23" s="14" t="n"/>
    </row>
    <row r="24" ht="17.25" customHeight="1">
      <c r="A24" s="9" t="inlineStr">
        <is>
          <t>Yataklı</t>
        </is>
      </c>
      <c r="B24" s="10" t="inlineStr">
        <is>
          <t>Yataklı_1</t>
        </is>
      </c>
      <c r="C24" s="11" t="inlineStr">
        <is>
          <t>17</t>
        </is>
      </c>
      <c r="D24" s="10" t="inlineStr">
        <is>
          <t>Compartment_Lcd_5</t>
        </is>
      </c>
      <c r="E24" s="10" t="inlineStr">
        <is>
          <t>10.n.1.44</t>
        </is>
      </c>
      <c r="F24" s="12">
        <f>IF($B$1="","",SUBSTITUTE(E24,"n",$B$1))</f>
        <v/>
      </c>
      <c r="G24" s="13" t="inlineStr">
        <is>
          <t>com.piton.train_lcd_panel 0.0.5</t>
        </is>
      </c>
      <c r="H24" s="17" t="n"/>
      <c r="I24" s="15" t="n"/>
      <c r="J24" s="15" t="n"/>
      <c r="K24" s="22" t="n"/>
      <c r="L24" s="15" t="n"/>
      <c r="M24" s="15" t="n"/>
      <c r="N24" s="16" t="n"/>
      <c r="O24" s="14" t="n"/>
      <c r="P24" s="14" t="n"/>
      <c r="Q24" s="14" t="n"/>
      <c r="R24" s="14" t="n"/>
      <c r="S24" s="15" t="n"/>
      <c r="T24" s="16" t="n"/>
      <c r="U24" s="14" t="n"/>
      <c r="V24" s="15" t="n"/>
      <c r="W24" s="14" t="n"/>
    </row>
    <row r="25" ht="17.25" customHeight="1">
      <c r="A25" s="9" t="inlineStr">
        <is>
          <t>Yataklı</t>
        </is>
      </c>
      <c r="B25" s="10" t="inlineStr">
        <is>
          <t>Yataklı_1</t>
        </is>
      </c>
      <c r="C25" s="11" t="inlineStr">
        <is>
          <t>18</t>
        </is>
      </c>
      <c r="D25" s="10" t="inlineStr">
        <is>
          <t>Compartment_Lcd_6</t>
        </is>
      </c>
      <c r="E25" s="10" t="inlineStr">
        <is>
          <t>10.n.1.45</t>
        </is>
      </c>
      <c r="F25" s="12">
        <f>IF($B$1="","",SUBSTITUTE(E25,"n",$B$1))</f>
        <v/>
      </c>
      <c r="G25" s="13" t="inlineStr">
        <is>
          <t>com.piton.train_lcd_panel 0.0.5</t>
        </is>
      </c>
      <c r="H25" s="17" t="n"/>
      <c r="I25" s="15" t="n"/>
      <c r="J25" s="15" t="n"/>
      <c r="K25" s="22" t="n"/>
      <c r="L25" s="15" t="n"/>
      <c r="M25" s="15" t="n"/>
      <c r="N25" s="16" t="n"/>
      <c r="O25" s="14" t="n"/>
      <c r="P25" s="14" t="n"/>
      <c r="Q25" s="14" t="n"/>
      <c r="R25" s="14" t="n"/>
      <c r="S25" s="15" t="n"/>
      <c r="T25" s="16" t="n"/>
      <c r="U25" s="14" t="n"/>
      <c r="V25" s="15" t="n"/>
      <c r="W25" s="14" t="n"/>
    </row>
    <row r="26" ht="17.25" customHeight="1">
      <c r="A26" s="9" t="inlineStr">
        <is>
          <t>Yataklı</t>
        </is>
      </c>
      <c r="B26" s="10" t="inlineStr">
        <is>
          <t>Yataklı_1</t>
        </is>
      </c>
      <c r="C26" s="11" t="inlineStr">
        <is>
          <t>19</t>
        </is>
      </c>
      <c r="D26" s="10" t="inlineStr">
        <is>
          <t>Compartment_Lcd_7</t>
        </is>
      </c>
      <c r="E26" s="10" t="inlineStr">
        <is>
          <t>10.n.1.46</t>
        </is>
      </c>
      <c r="F26" s="12">
        <f>IF($B$1="","",SUBSTITUTE(E26,"n",$B$1))</f>
        <v/>
      </c>
      <c r="G26" s="13" t="inlineStr">
        <is>
          <t>com.piton.train_lcd_panel 0.0.5</t>
        </is>
      </c>
      <c r="H26" s="17" t="n"/>
      <c r="I26" s="15" t="n"/>
      <c r="J26" s="15" t="n"/>
      <c r="K26" s="22" t="n"/>
      <c r="L26" s="15" t="n"/>
      <c r="M26" s="15" t="n"/>
      <c r="N26" s="16" t="n"/>
      <c r="O26" s="14" t="n"/>
      <c r="P26" s="14" t="n"/>
      <c r="Q26" s="14" t="n"/>
      <c r="R26" s="14" t="n"/>
      <c r="S26" s="15" t="n"/>
      <c r="T26" s="16" t="n"/>
      <c r="U26" s="14" t="n"/>
      <c r="V26" s="15" t="n"/>
      <c r="W26" s="14" t="n"/>
    </row>
    <row r="27" ht="17.25" customHeight="1">
      <c r="A27" s="9" t="inlineStr">
        <is>
          <t>Yataklı</t>
        </is>
      </c>
      <c r="B27" s="10" t="inlineStr">
        <is>
          <t>Yataklı_1</t>
        </is>
      </c>
      <c r="C27" s="11" t="inlineStr">
        <is>
          <t>20</t>
        </is>
      </c>
      <c r="D27" s="10" t="inlineStr">
        <is>
          <t>Compartment_Lcd_8</t>
        </is>
      </c>
      <c r="E27" s="10" t="inlineStr">
        <is>
          <t>10.n.1.47</t>
        </is>
      </c>
      <c r="F27" s="12">
        <f>IF($B$1="","",SUBSTITUTE(E27,"n",$B$1))</f>
        <v/>
      </c>
      <c r="G27" s="13" t="inlineStr">
        <is>
          <t>com.piton.train_lcd_panel 0.0.5</t>
        </is>
      </c>
      <c r="H27" s="17" t="n"/>
      <c r="I27" s="15" t="n"/>
      <c r="J27" s="15" t="n"/>
      <c r="K27" s="22" t="n"/>
      <c r="L27" s="15" t="n"/>
      <c r="M27" s="15" t="n"/>
      <c r="N27" s="16" t="n"/>
      <c r="O27" s="14" t="n"/>
      <c r="P27" s="14" t="n"/>
      <c r="Q27" s="14" t="n"/>
      <c r="R27" s="14" t="n"/>
      <c r="S27" s="15" t="n"/>
      <c r="T27" s="16" t="n"/>
      <c r="U27" s="14" t="n"/>
      <c r="V27" s="15" t="n"/>
      <c r="W27" s="14" t="n"/>
    </row>
    <row r="28" ht="17.25" customHeight="1">
      <c r="A28" s="9" t="inlineStr">
        <is>
          <t>Yataklı</t>
        </is>
      </c>
      <c r="B28" s="10" t="inlineStr">
        <is>
          <t>Yataklı_1</t>
        </is>
      </c>
      <c r="C28" s="11" t="inlineStr">
        <is>
          <t>21</t>
        </is>
      </c>
      <c r="D28" s="10" t="inlineStr">
        <is>
          <t>Compartment_Lcd_9</t>
        </is>
      </c>
      <c r="E28" s="10" t="inlineStr">
        <is>
          <t>10.n.1.48</t>
        </is>
      </c>
      <c r="F28" s="12">
        <f>IF($B$1="","",SUBSTITUTE(E28,"n",$B$1))</f>
        <v/>
      </c>
      <c r="G28" s="13" t="inlineStr">
        <is>
          <t>com.piton.train_lcd_panel 0.0.5</t>
        </is>
      </c>
      <c r="H28" s="17" t="n"/>
      <c r="I28" s="15" t="n"/>
      <c r="J28" s="15" t="n"/>
      <c r="K28" s="22" t="n"/>
      <c r="L28" s="15" t="n"/>
      <c r="M28" s="15" t="n"/>
      <c r="N28" s="16" t="n"/>
      <c r="O28" s="14" t="n"/>
      <c r="P28" s="14" t="n"/>
      <c r="Q28" s="14" t="n"/>
      <c r="R28" s="14" t="n"/>
      <c r="S28" s="15" t="n"/>
      <c r="T28" s="16" t="n"/>
      <c r="U28" s="14" t="n"/>
      <c r="V28" s="15" t="n"/>
      <c r="W28" s="14" t="n"/>
    </row>
    <row r="29" ht="17.25" customHeight="1">
      <c r="A29" s="9" t="inlineStr">
        <is>
          <t>Yataklı</t>
        </is>
      </c>
      <c r="B29" s="10" t="inlineStr">
        <is>
          <t>Yataklı_1</t>
        </is>
      </c>
      <c r="C29" s="11" t="inlineStr">
        <is>
          <t>22</t>
        </is>
      </c>
      <c r="D29" s="10" t="inlineStr">
        <is>
          <t>Compartment_Lcd_10</t>
        </is>
      </c>
      <c r="E29" s="10" t="inlineStr">
        <is>
          <t>10.n.1.49</t>
        </is>
      </c>
      <c r="F29" s="12">
        <f>IF($B$1="","",SUBSTITUTE(E29,"n",$B$1))</f>
        <v/>
      </c>
      <c r="G29" s="13" t="inlineStr">
        <is>
          <t>com.piton.train_lcd_panel 0.0.5</t>
        </is>
      </c>
      <c r="H29" s="17" t="n"/>
      <c r="I29" s="15" t="n"/>
      <c r="J29" s="15" t="n"/>
      <c r="K29" s="22" t="n"/>
      <c r="L29" s="15" t="n"/>
      <c r="M29" s="15" t="n"/>
      <c r="N29" s="16" t="n"/>
      <c r="O29" s="14" t="n"/>
      <c r="P29" s="14" t="n"/>
      <c r="Q29" s="14" t="n"/>
      <c r="R29" s="14" t="n"/>
      <c r="S29" s="15" t="n"/>
      <c r="T29" s="16" t="n"/>
      <c r="U29" s="14" t="n"/>
      <c r="V29" s="15" t="n"/>
      <c r="W29" s="14" t="n"/>
    </row>
    <row r="30" ht="17.25" customHeight="1">
      <c r="A30" s="9" t="inlineStr">
        <is>
          <t>Yataklı</t>
        </is>
      </c>
      <c r="B30" s="10" t="inlineStr">
        <is>
          <t>Yataklı_1</t>
        </is>
      </c>
      <c r="C30" s="11" t="inlineStr">
        <is>
          <t>23</t>
        </is>
      </c>
      <c r="D30" s="10" t="inlineStr">
        <is>
          <t>Compartment_Lcd_11</t>
        </is>
      </c>
      <c r="E30" s="10" t="inlineStr">
        <is>
          <t>10.n.1.50</t>
        </is>
      </c>
      <c r="F30" s="12">
        <f>IF($B$1="","",SUBSTITUTE(E30,"n",$B$1))</f>
        <v/>
      </c>
      <c r="G30" s="13" t="inlineStr">
        <is>
          <t>com.piton.train_lcd_panel 0.0.5</t>
        </is>
      </c>
      <c r="H30" s="17" t="n"/>
      <c r="I30" s="15" t="n"/>
      <c r="J30" s="15" t="n"/>
      <c r="K30" s="22" t="n"/>
      <c r="L30" s="15" t="n"/>
      <c r="M30" s="15" t="n"/>
      <c r="N30" s="16" t="n"/>
      <c r="O30" s="14" t="n"/>
      <c r="P30" s="14" t="n"/>
      <c r="Q30" s="14" t="n"/>
      <c r="R30" s="14" t="n"/>
      <c r="S30" s="15" t="n"/>
      <c r="T30" s="16" t="n"/>
      <c r="U30" s="14" t="n"/>
      <c r="V30" s="15" t="n"/>
      <c r="W30" s="14" t="n"/>
    </row>
    <row r="31" ht="17.25" customHeight="1">
      <c r="A31" s="8" t="inlineStr">
        <is>
          <t xml:space="preserve">  AP   ·   2 records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1" t="n"/>
    </row>
    <row r="32" ht="17.25" customHeight="1">
      <c r="A32" s="9" t="inlineStr">
        <is>
          <t>Yataklı</t>
        </is>
      </c>
      <c r="B32" s="10" t="inlineStr">
        <is>
          <t>Yataklı_1</t>
        </is>
      </c>
      <c r="C32" s="11" t="inlineStr">
        <is>
          <t>26</t>
        </is>
      </c>
      <c r="D32" s="10" t="inlineStr">
        <is>
          <t>Ap_1</t>
        </is>
      </c>
      <c r="E32" s="10" t="inlineStr">
        <is>
          <t>10.n.1.7</t>
        </is>
      </c>
      <c r="F32" s="12">
        <f>IF($B$1="","",SUBSTITUTE(E32,"n",$B$1))</f>
        <v/>
      </c>
      <c r="G32" s="13" t="n"/>
      <c r="H32" s="14" t="n"/>
      <c r="I32" s="15" t="n"/>
      <c r="J32" s="15" t="n"/>
      <c r="K32" s="15" t="n"/>
      <c r="L32" s="14" t="n"/>
      <c r="M32" s="15" t="n"/>
      <c r="N32" s="16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 ht="17.25" customHeight="1">
      <c r="A33" s="9" t="inlineStr">
        <is>
          <t>Yataklı</t>
        </is>
      </c>
      <c r="B33" s="10" t="inlineStr">
        <is>
          <t>Yataklı_1</t>
        </is>
      </c>
      <c r="C33" s="11" t="inlineStr">
        <is>
          <t>27</t>
        </is>
      </c>
      <c r="D33" s="10" t="inlineStr">
        <is>
          <t>Ap_2</t>
        </is>
      </c>
      <c r="E33" s="10" t="inlineStr">
        <is>
          <t>10.n.1.8</t>
        </is>
      </c>
      <c r="F33" s="12">
        <f>IF($B$1="","",SUBSTITUTE(E33,"n",$B$1))</f>
        <v/>
      </c>
      <c r="G33" s="13" t="n"/>
      <c r="H33" s="14" t="n"/>
      <c r="I33" s="15" t="n"/>
      <c r="J33" s="15" t="n"/>
      <c r="K33" s="15" t="n"/>
      <c r="L33" s="14" t="n"/>
      <c r="M33" s="15" t="n"/>
      <c r="N33" s="16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 ht="17.25" customHeight="1">
      <c r="A34" s="8" t="inlineStr">
        <is>
          <t xml:space="preserve">  ICU   ·   1 records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</row>
    <row r="35" ht="19" customHeight="1">
      <c r="A35" s="9" t="inlineStr">
        <is>
          <t>Yataklı</t>
        </is>
      </c>
      <c r="B35" s="10" t="inlineStr">
        <is>
          <t>Yataklı_1</t>
        </is>
      </c>
      <c r="C35" s="11" t="inlineStr">
        <is>
          <t>28</t>
        </is>
      </c>
      <c r="D35" s="10" t="inlineStr">
        <is>
          <t>Icu</t>
        </is>
      </c>
      <c r="E35" s="10" t="inlineStr">
        <is>
          <t>10.n.1.2</t>
        </is>
      </c>
      <c r="F35" s="12">
        <f>IF($B$1="","",SUBSTITUTE(E35,"n",$B$1))</f>
        <v/>
      </c>
      <c r="G35" s="13" t="inlineStr">
        <is>
          <t>1.2.7</t>
        </is>
      </c>
      <c r="H35" s="14" t="n"/>
      <c r="I35" s="15" t="n"/>
      <c r="J35" s="15" t="n"/>
      <c r="K35" s="15" t="n"/>
      <c r="L35" s="15" t="n"/>
      <c r="M35" s="15" t="n"/>
      <c r="N35" s="16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 ht="17.25" customHeight="1">
      <c r="A36" s="8" t="inlineStr">
        <is>
          <t xml:space="preserve">  Announcement · UIC   ·   1 records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</row>
    <row r="37" ht="19" customHeight="1">
      <c r="A37" s="9" t="inlineStr">
        <is>
          <t>Yataklı</t>
        </is>
      </c>
      <c r="B37" s="10" t="inlineStr">
        <is>
          <t>Yataklı_2</t>
        </is>
      </c>
      <c r="C37" s="11" t="inlineStr">
        <is>
          <t>3</t>
        </is>
      </c>
      <c r="D37" s="10" t="inlineStr">
        <is>
          <t>Uic</t>
        </is>
      </c>
      <c r="E37" s="10" t="inlineStr">
        <is>
          <t>10.n.1.60</t>
        </is>
      </c>
      <c r="F37" s="12">
        <f>IF($B$1="","",SUBSTITUTE(E37,"n",$B$1))</f>
        <v/>
      </c>
      <c r="G37" s="13" t="inlineStr">
        <is>
          <t>1.2.8</t>
        </is>
      </c>
      <c r="H37" s="17" t="n"/>
      <c r="I37" s="15" t="n"/>
      <c r="J37" s="15" t="n"/>
      <c r="K37" s="15" t="n"/>
      <c r="L37" s="15" t="n"/>
      <c r="M37" s="15" t="n"/>
      <c r="N37" s="16" t="n"/>
      <c r="O37" s="14" t="n"/>
      <c r="P37" s="14" t="n"/>
      <c r="Q37" s="14" t="n"/>
      <c r="R37" s="14" t="n"/>
      <c r="S37" s="15" t="n"/>
      <c r="T37" s="16" t="n"/>
      <c r="U37" s="14" t="n"/>
      <c r="V37" s="14" t="n"/>
      <c r="W37" s="14" t="n"/>
    </row>
    <row r="38" ht="17.25" customHeight="1">
      <c r="A38" s="8" t="inlineStr">
        <is>
          <t xml:space="preserve">  NVR   ·   1 records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</row>
    <row r="39" ht="19" customHeight="1">
      <c r="A39" s="9" t="inlineStr">
        <is>
          <t>Yataklı</t>
        </is>
      </c>
      <c r="B39" s="10" t="inlineStr">
        <is>
          <t>Yataklı_2</t>
        </is>
      </c>
      <c r="C39" s="11" t="inlineStr">
        <is>
          <t>5</t>
        </is>
      </c>
      <c r="D39" s="10" t="inlineStr">
        <is>
          <t>Nvr</t>
        </is>
      </c>
      <c r="E39" s="10" t="inlineStr">
        <is>
          <t>10.n.1.3</t>
        </is>
      </c>
      <c r="F39" s="12">
        <f>IF($B$1="","",SUBSTITUTE(E39,"n",$B$1))</f>
        <v/>
      </c>
      <c r="G39" s="13" t="inlineStr">
        <is>
          <t>V5.4.1.630386build250318</t>
        </is>
      </c>
      <c r="H39" s="14" t="n"/>
      <c r="I39" s="15" t="n"/>
      <c r="J39" s="15" t="n"/>
      <c r="K39" s="15" t="n"/>
      <c r="L39" s="15" t="n"/>
      <c r="M39" s="15" t="n"/>
      <c r="N39" s="16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5" t="n"/>
    </row>
    <row r="40" ht="17.25" customHeight="1">
      <c r="A40" s="8" t="inlineStr">
        <is>
          <t xml:space="preserve">  HMI   ·   1 records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</row>
    <row r="41" ht="19" customHeight="1">
      <c r="A41" s="9" t="inlineStr">
        <is>
          <t>Yataklı</t>
        </is>
      </c>
      <c r="B41" s="10" t="inlineStr">
        <is>
          <t>Yataklı_2</t>
        </is>
      </c>
      <c r="C41" s="11" t="inlineStr">
        <is>
          <t>6</t>
        </is>
      </c>
      <c r="D41" s="10" t="inlineStr">
        <is>
          <t>Hmi</t>
        </is>
      </c>
      <c r="E41" s="10" t="inlineStr">
        <is>
          <t>10.n.1.4</t>
        </is>
      </c>
      <c r="F41" s="12">
        <f>IF($B$1="","",SUBSTITUTE(E41,"n",$B$1))</f>
        <v/>
      </c>
      <c r="G41" s="13" t="inlineStr">
        <is>
          <t>1.2.7</t>
        </is>
      </c>
      <c r="H41" s="14" t="n"/>
      <c r="I41" s="15" t="n"/>
      <c r="J41" s="15" t="n"/>
      <c r="K41" s="15" t="n"/>
      <c r="L41" s="15" t="n"/>
      <c r="M41" s="15" t="n"/>
      <c r="N41" s="16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 ht="17.25" customHeight="1">
      <c r="A42" s="8" t="inlineStr">
        <is>
          <t xml:space="preserve">  LED · Front   ·   2 records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</row>
    <row r="43" ht="17.25" customHeight="1">
      <c r="A43" s="9" t="inlineStr">
        <is>
          <t>Yataklı</t>
        </is>
      </c>
      <c r="B43" s="10" t="inlineStr">
        <is>
          <t>Yataklı_2</t>
        </is>
      </c>
      <c r="C43" s="11" t="inlineStr">
        <is>
          <t>8</t>
        </is>
      </c>
      <c r="D43" s="10" t="inlineStr">
        <is>
          <t>Led_1</t>
        </is>
      </c>
      <c r="E43" s="10" t="inlineStr">
        <is>
          <t>10.n.1.30</t>
        </is>
      </c>
      <c r="F43" s="12">
        <f>IF($B$1="","",SUBSTITUTE(E43,"n",$B$1))</f>
        <v/>
      </c>
      <c r="G43" s="13" t="inlineStr">
        <is>
          <t>7 or newer</t>
        </is>
      </c>
      <c r="H43" s="14" t="n"/>
      <c r="I43" s="15" t="n"/>
      <c r="J43" s="15" t="n"/>
      <c r="K43" s="15" t="n"/>
      <c r="L43" s="15" t="n"/>
      <c r="M43" s="15" t="n"/>
      <c r="N43" s="16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 ht="17.25" customHeight="1">
      <c r="A44" s="9" t="inlineStr">
        <is>
          <t>Yataklı</t>
        </is>
      </c>
      <c r="B44" s="10" t="inlineStr">
        <is>
          <t>Yataklı_2</t>
        </is>
      </c>
      <c r="C44" s="11" t="inlineStr">
        <is>
          <t>9</t>
        </is>
      </c>
      <c r="D44" s="10" t="inlineStr">
        <is>
          <t>Led_2</t>
        </is>
      </c>
      <c r="E44" s="10" t="inlineStr">
        <is>
          <t>10.n.1.31</t>
        </is>
      </c>
      <c r="F44" s="12">
        <f>IF($B$1="","",SUBSTITUTE(E44,"n",$B$1))</f>
        <v/>
      </c>
      <c r="G44" s="13" t="inlineStr">
        <is>
          <t>7 or newer</t>
        </is>
      </c>
      <c r="H44" s="14" t="n"/>
      <c r="I44" s="15" t="n"/>
      <c r="J44" s="15" t="n"/>
      <c r="K44" s="15" t="n"/>
      <c r="L44" s="15" t="n"/>
      <c r="M44" s="15" t="n"/>
      <c r="N44" s="16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 ht="17.25" customHeight="1">
      <c r="A45" s="8" t="inlineStr">
        <is>
          <t xml:space="preserve">  Announcement · Amplifier   ·   1 records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1" t="n"/>
    </row>
    <row r="46" ht="17.25" customHeight="1">
      <c r="A46" s="9" t="inlineStr">
        <is>
          <t>Yataklı</t>
        </is>
      </c>
      <c r="B46" s="10" t="inlineStr">
        <is>
          <t>Yataklı_2</t>
        </is>
      </c>
      <c r="C46" s="11" t="inlineStr">
        <is>
          <t>10</t>
        </is>
      </c>
      <c r="D46" s="10" t="inlineStr">
        <is>
          <t>Amplifier</t>
        </is>
      </c>
      <c r="E46" s="10" t="inlineStr">
        <is>
          <t>10.n.1.5</t>
        </is>
      </c>
      <c r="F46" s="12">
        <f>IF($B$1="","",SUBSTITUTE(E46,"n",$B$1))</f>
        <v/>
      </c>
      <c r="G46" s="13" t="inlineStr">
        <is>
          <t>1.2.8</t>
        </is>
      </c>
      <c r="H46" s="17" t="n"/>
      <c r="I46" s="15" t="n"/>
      <c r="J46" s="15" t="n"/>
      <c r="K46" s="15" t="n"/>
      <c r="L46" s="15" t="n"/>
      <c r="M46" s="15" t="n"/>
      <c r="N46" s="16" t="n"/>
      <c r="O46" s="16" t="n"/>
      <c r="P46" s="16" t="n"/>
      <c r="Q46" s="11" t="n"/>
      <c r="R46" s="11" t="n"/>
      <c r="S46" s="15" t="n"/>
      <c r="T46" s="16" t="n"/>
      <c r="U46" s="14" t="n"/>
      <c r="V46" s="14" t="n"/>
      <c r="W46" s="14" t="n"/>
    </row>
    <row r="47" ht="17.25" customHeight="1">
      <c r="A47" s="8" t="inlineStr">
        <is>
          <t xml:space="preserve">  Announcement · Intercom   ·   12 records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1" t="n"/>
    </row>
    <row r="48" ht="17.25" customHeight="1">
      <c r="A48" s="9" t="inlineStr">
        <is>
          <t>Yataklı</t>
        </is>
      </c>
      <c r="B48" s="10" t="inlineStr">
        <is>
          <t>Yataklı_2</t>
        </is>
      </c>
      <c r="C48" s="11" t="inlineStr">
        <is>
          <t>11</t>
        </is>
      </c>
      <c r="D48" s="10" t="inlineStr">
        <is>
          <t>10011001</t>
        </is>
      </c>
      <c r="E48" s="10" t="inlineStr">
        <is>
          <t>10.n.1.10</t>
        </is>
      </c>
      <c r="F48" s="12">
        <f>IF($B$1="","",SUBSTITUTE(E48,"n",$B$1))</f>
        <v/>
      </c>
      <c r="G48" s="13" t="inlineStr">
        <is>
          <t>1.2.8</t>
        </is>
      </c>
      <c r="H48" s="17" t="n"/>
      <c r="I48" s="15" t="n"/>
      <c r="J48" s="15" t="n"/>
      <c r="K48" s="15" t="n"/>
      <c r="L48" s="15" t="n"/>
      <c r="M48" s="15" t="n"/>
      <c r="N48" s="16" t="n"/>
      <c r="O48" s="16" t="n"/>
      <c r="P48" s="16" t="n"/>
      <c r="Q48" s="11" t="n"/>
      <c r="R48" s="11" t="n"/>
      <c r="S48" s="15" t="n"/>
      <c r="T48" s="16" t="n"/>
      <c r="U48" s="16" t="n"/>
      <c r="V48" s="14" t="n"/>
      <c r="W48" s="14" t="n"/>
    </row>
    <row r="49" ht="17.25" customHeight="1">
      <c r="A49" s="9" t="inlineStr">
        <is>
          <t>Yataklı</t>
        </is>
      </c>
      <c r="B49" s="10" t="inlineStr">
        <is>
          <t>Yataklı_2</t>
        </is>
      </c>
      <c r="C49" s="11" t="inlineStr">
        <is>
          <t>12</t>
        </is>
      </c>
      <c r="D49" s="10" t="inlineStr">
        <is>
          <t>10011002</t>
        </is>
      </c>
      <c r="E49" s="10" t="inlineStr">
        <is>
          <t>10.n.1.11</t>
        </is>
      </c>
      <c r="F49" s="12">
        <f>IF($B$1="","",SUBSTITUTE(E49,"n",$B$1))</f>
        <v/>
      </c>
      <c r="G49" s="13" t="inlineStr">
        <is>
          <t>1.2.8</t>
        </is>
      </c>
      <c r="H49" s="17" t="n"/>
      <c r="I49" s="15" t="n"/>
      <c r="J49" s="15" t="n"/>
      <c r="K49" s="15" t="n"/>
      <c r="L49" s="15" t="n"/>
      <c r="M49" s="15" t="n"/>
      <c r="N49" s="16" t="n"/>
      <c r="O49" s="16" t="n"/>
      <c r="P49" s="16" t="n"/>
      <c r="Q49" s="11" t="n"/>
      <c r="R49" s="11" t="n"/>
      <c r="S49" s="15" t="n"/>
      <c r="T49" s="16" t="n"/>
      <c r="U49" s="16" t="n"/>
      <c r="V49" s="14" t="n"/>
      <c r="W49" s="14" t="n"/>
    </row>
    <row r="50" ht="17.25" customHeight="1">
      <c r="A50" s="9" t="inlineStr">
        <is>
          <t>Yataklı</t>
        </is>
      </c>
      <c r="B50" s="10" t="inlineStr">
        <is>
          <t>Yataklı_2</t>
        </is>
      </c>
      <c r="C50" s="11" t="inlineStr">
        <is>
          <t>13</t>
        </is>
      </c>
      <c r="D50" s="10" t="inlineStr">
        <is>
          <t>10011003</t>
        </is>
      </c>
      <c r="E50" s="10" t="inlineStr">
        <is>
          <t>10.n.1.12</t>
        </is>
      </c>
      <c r="F50" s="12">
        <f>IF($B$1="","",SUBSTITUTE(E50,"n",$B$1))</f>
        <v/>
      </c>
      <c r="G50" s="13" t="inlineStr">
        <is>
          <t>1.2.8</t>
        </is>
      </c>
      <c r="H50" s="17" t="n"/>
      <c r="I50" s="15" t="n"/>
      <c r="J50" s="15" t="n"/>
      <c r="K50" s="15" t="n"/>
      <c r="L50" s="15" t="n"/>
      <c r="M50" s="15" t="n"/>
      <c r="N50" s="16" t="n"/>
      <c r="O50" s="16" t="n"/>
      <c r="P50" s="16" t="n"/>
      <c r="Q50" s="11" t="n"/>
      <c r="R50" s="11" t="n"/>
      <c r="S50" s="15" t="n"/>
      <c r="T50" s="16" t="n"/>
      <c r="U50" s="16" t="n"/>
      <c r="V50" s="14" t="n"/>
      <c r="W50" s="14" t="n"/>
    </row>
    <row r="51" ht="17.25" customHeight="1">
      <c r="A51" s="9" t="inlineStr">
        <is>
          <t>Yataklı</t>
        </is>
      </c>
      <c r="B51" s="10" t="inlineStr">
        <is>
          <t>Yataklı_2</t>
        </is>
      </c>
      <c r="C51" s="11" t="inlineStr">
        <is>
          <t>14</t>
        </is>
      </c>
      <c r="D51" s="10" t="inlineStr">
        <is>
          <t>10011004</t>
        </is>
      </c>
      <c r="E51" s="10" t="inlineStr">
        <is>
          <t>10.n.1.13</t>
        </is>
      </c>
      <c r="F51" s="12">
        <f>IF($B$1="","",SUBSTITUTE(E51,"n",$B$1))</f>
        <v/>
      </c>
      <c r="G51" s="13" t="inlineStr">
        <is>
          <t>1.2.8</t>
        </is>
      </c>
      <c r="H51" s="17" t="n"/>
      <c r="I51" s="15" t="n"/>
      <c r="J51" s="15" t="n"/>
      <c r="K51" s="15" t="n"/>
      <c r="L51" s="15" t="n"/>
      <c r="M51" s="15" t="n"/>
      <c r="N51" s="16" t="n"/>
      <c r="O51" s="16" t="n"/>
      <c r="P51" s="16" t="n"/>
      <c r="Q51" s="11" t="n"/>
      <c r="R51" s="11" t="n"/>
      <c r="S51" s="15" t="n"/>
      <c r="T51" s="16" t="n"/>
      <c r="U51" s="16" t="n"/>
      <c r="V51" s="14" t="n"/>
      <c r="W51" s="14" t="n"/>
    </row>
    <row r="52" ht="17.25" customHeight="1">
      <c r="A52" s="9" t="inlineStr">
        <is>
          <t>Yataklı</t>
        </is>
      </c>
      <c r="B52" s="10" t="inlineStr">
        <is>
          <t>Yataklı_2</t>
        </is>
      </c>
      <c r="C52" s="11" t="inlineStr">
        <is>
          <t>15</t>
        </is>
      </c>
      <c r="D52" s="10" t="inlineStr">
        <is>
          <t>10011005</t>
        </is>
      </c>
      <c r="E52" s="10" t="inlineStr">
        <is>
          <t>10.n.1.14</t>
        </is>
      </c>
      <c r="F52" s="12">
        <f>IF($B$1="","",SUBSTITUTE(E52,"n",$B$1))</f>
        <v/>
      </c>
      <c r="G52" s="13" t="inlineStr">
        <is>
          <t>1.2.8</t>
        </is>
      </c>
      <c r="H52" s="17" t="n"/>
      <c r="I52" s="15" t="n"/>
      <c r="J52" s="15" t="n"/>
      <c r="K52" s="15" t="n"/>
      <c r="L52" s="15" t="n"/>
      <c r="M52" s="15" t="n"/>
      <c r="N52" s="16" t="n"/>
      <c r="O52" s="16" t="n"/>
      <c r="P52" s="16" t="n"/>
      <c r="Q52" s="11" t="n"/>
      <c r="R52" s="11" t="n"/>
      <c r="S52" s="15" t="n"/>
      <c r="T52" s="16" t="n"/>
      <c r="U52" s="16" t="n"/>
      <c r="V52" s="14" t="n"/>
      <c r="W52" s="14" t="n"/>
    </row>
    <row r="53" ht="17.25" customHeight="1">
      <c r="A53" s="9" t="inlineStr">
        <is>
          <t>Yataklı</t>
        </is>
      </c>
      <c r="B53" s="10" t="inlineStr">
        <is>
          <t>Yataklı_2</t>
        </is>
      </c>
      <c r="C53" s="11" t="inlineStr">
        <is>
          <t>16</t>
        </is>
      </c>
      <c r="D53" s="10" t="inlineStr">
        <is>
          <t>10011006</t>
        </is>
      </c>
      <c r="E53" s="10" t="inlineStr">
        <is>
          <t>10.n.1.15</t>
        </is>
      </c>
      <c r="F53" s="12">
        <f>IF($B$1="","",SUBSTITUTE(E53,"n",$B$1))</f>
        <v/>
      </c>
      <c r="G53" s="13" t="inlineStr">
        <is>
          <t>1.2.8</t>
        </is>
      </c>
      <c r="H53" s="17" t="n"/>
      <c r="I53" s="15" t="n"/>
      <c r="J53" s="15" t="n"/>
      <c r="K53" s="15" t="n"/>
      <c r="L53" s="15" t="n"/>
      <c r="M53" s="15" t="n"/>
      <c r="N53" s="16" t="n"/>
      <c r="O53" s="16" t="n"/>
      <c r="P53" s="16" t="n"/>
      <c r="Q53" s="11" t="n"/>
      <c r="R53" s="11" t="n"/>
      <c r="S53" s="15" t="n"/>
      <c r="T53" s="16" t="n"/>
      <c r="U53" s="16" t="n"/>
      <c r="V53" s="14" t="n"/>
      <c r="W53" s="14" t="n"/>
    </row>
    <row r="54" ht="19" customHeight="1">
      <c r="A54" s="9" t="inlineStr">
        <is>
          <t>Yataklı</t>
        </is>
      </c>
      <c r="B54" s="10" t="inlineStr">
        <is>
          <t>Yataklı_2</t>
        </is>
      </c>
      <c r="C54" s="11" t="inlineStr">
        <is>
          <t>17</t>
        </is>
      </c>
      <c r="D54" s="10" t="inlineStr">
        <is>
          <t>10011007</t>
        </is>
      </c>
      <c r="E54" s="10" t="inlineStr">
        <is>
          <t>10.n.1.16</t>
        </is>
      </c>
      <c r="F54" s="12">
        <f>IF($B$1="","",SUBSTITUTE(E54,"n",$B$1))</f>
        <v/>
      </c>
      <c r="G54" s="13" t="inlineStr">
        <is>
          <t>1.2.8</t>
        </is>
      </c>
      <c r="H54" s="17" t="n"/>
      <c r="I54" s="15" t="n"/>
      <c r="J54" s="15" t="n"/>
      <c r="K54" s="15" t="n"/>
      <c r="L54" s="15" t="n"/>
      <c r="M54" s="15" t="n"/>
      <c r="N54" s="16" t="n"/>
      <c r="O54" s="16" t="n"/>
      <c r="P54" s="16" t="n"/>
      <c r="Q54" s="11" t="n"/>
      <c r="R54" s="11" t="n"/>
      <c r="S54" s="15" t="n"/>
      <c r="T54" s="16" t="n"/>
      <c r="U54" s="16" t="n"/>
      <c r="V54" s="14" t="n"/>
      <c r="W54" s="14" t="n"/>
    </row>
    <row r="55" ht="17.25" customHeight="1">
      <c r="A55" s="9" t="inlineStr">
        <is>
          <t>Yataklı</t>
        </is>
      </c>
      <c r="B55" s="10" t="inlineStr">
        <is>
          <t>Yataklı_2</t>
        </is>
      </c>
      <c r="C55" s="11" t="inlineStr">
        <is>
          <t>18</t>
        </is>
      </c>
      <c r="D55" s="10" t="inlineStr">
        <is>
          <t>10011008</t>
        </is>
      </c>
      <c r="E55" s="10" t="inlineStr">
        <is>
          <t>10.n.1.17</t>
        </is>
      </c>
      <c r="F55" s="12">
        <f>IF($B$1="","",SUBSTITUTE(E55,"n",$B$1))</f>
        <v/>
      </c>
      <c r="G55" s="13" t="inlineStr">
        <is>
          <t>1.2.8</t>
        </is>
      </c>
      <c r="H55" s="17" t="n"/>
      <c r="I55" s="15" t="n"/>
      <c r="J55" s="15" t="n"/>
      <c r="K55" s="15" t="n"/>
      <c r="L55" s="15" t="n"/>
      <c r="M55" s="15" t="n"/>
      <c r="N55" s="16" t="n"/>
      <c r="O55" s="16" t="n"/>
      <c r="P55" s="16" t="n"/>
      <c r="Q55" s="11" t="n"/>
      <c r="R55" s="11" t="n"/>
      <c r="S55" s="15" t="n"/>
      <c r="T55" s="16" t="n"/>
      <c r="U55" s="16" t="n"/>
      <c r="V55" s="14" t="n"/>
      <c r="W55" s="14" t="n"/>
    </row>
    <row r="56" ht="17.25" customHeight="1">
      <c r="A56" s="9" t="inlineStr">
        <is>
          <t>Yataklı</t>
        </is>
      </c>
      <c r="B56" s="10" t="inlineStr">
        <is>
          <t>Yataklı_2</t>
        </is>
      </c>
      <c r="C56" s="11" t="inlineStr">
        <is>
          <t>19</t>
        </is>
      </c>
      <c r="D56" s="10" t="inlineStr">
        <is>
          <t>10011009</t>
        </is>
      </c>
      <c r="E56" s="10" t="inlineStr">
        <is>
          <t>10.n.1.18</t>
        </is>
      </c>
      <c r="F56" s="12">
        <f>IF($B$1="","",SUBSTITUTE(E56,"n",$B$1))</f>
        <v/>
      </c>
      <c r="G56" s="13" t="inlineStr">
        <is>
          <t>1.2.8</t>
        </is>
      </c>
      <c r="H56" s="17" t="n"/>
      <c r="I56" s="15" t="n"/>
      <c r="J56" s="15" t="n"/>
      <c r="K56" s="15" t="n"/>
      <c r="L56" s="15" t="n"/>
      <c r="M56" s="15" t="n"/>
      <c r="N56" s="16" t="n"/>
      <c r="O56" s="16" t="n"/>
      <c r="P56" s="16" t="n"/>
      <c r="Q56" s="11" t="n"/>
      <c r="R56" s="11" t="n"/>
      <c r="S56" s="15" t="n"/>
      <c r="T56" s="16" t="n"/>
      <c r="U56" s="16" t="n"/>
      <c r="V56" s="14" t="n"/>
      <c r="W56" s="14" t="n"/>
    </row>
    <row r="57" ht="19" customHeight="1">
      <c r="A57" s="9" t="inlineStr">
        <is>
          <t>Yataklı</t>
        </is>
      </c>
      <c r="B57" s="10" t="inlineStr">
        <is>
          <t>Yataklı_2</t>
        </is>
      </c>
      <c r="C57" s="11" t="inlineStr">
        <is>
          <t>20</t>
        </is>
      </c>
      <c r="D57" s="10" t="inlineStr">
        <is>
          <t>10011010</t>
        </is>
      </c>
      <c r="E57" s="10" t="inlineStr">
        <is>
          <t>10.n.1.19</t>
        </is>
      </c>
      <c r="F57" s="12">
        <f>IF($B$1="","",SUBSTITUTE(E57,"n",$B$1))</f>
        <v/>
      </c>
      <c r="G57" s="13" t="inlineStr">
        <is>
          <t>1.2.8</t>
        </is>
      </c>
      <c r="H57" s="17" t="n"/>
      <c r="I57" s="15" t="n"/>
      <c r="J57" s="15" t="n"/>
      <c r="K57" s="15" t="n"/>
      <c r="L57" s="15" t="n"/>
      <c r="M57" s="15" t="n"/>
      <c r="N57" s="16" t="n"/>
      <c r="O57" s="16" t="n"/>
      <c r="P57" s="16" t="n"/>
      <c r="Q57" s="11" t="n"/>
      <c r="R57" s="11" t="n"/>
      <c r="S57" s="15" t="n"/>
      <c r="T57" s="16" t="n"/>
      <c r="U57" s="16" t="n"/>
      <c r="V57" s="14" t="n"/>
      <c r="W57" s="14" t="n"/>
    </row>
    <row r="58" ht="17.25" customHeight="1">
      <c r="A58" s="9" t="inlineStr">
        <is>
          <t>Yataklı</t>
        </is>
      </c>
      <c r="B58" s="10" t="inlineStr">
        <is>
          <t>Yataklı_2</t>
        </is>
      </c>
      <c r="C58" s="11" t="inlineStr">
        <is>
          <t>21</t>
        </is>
      </c>
      <c r="D58" s="10" t="inlineStr">
        <is>
          <t>10011011</t>
        </is>
      </c>
      <c r="E58" s="10" t="inlineStr">
        <is>
          <t>10.n.1.20</t>
        </is>
      </c>
      <c r="F58" s="12">
        <f>IF($B$1="","",SUBSTITUTE(E58,"n",$B$1))</f>
        <v/>
      </c>
      <c r="G58" s="13" t="inlineStr">
        <is>
          <t>1.2.8</t>
        </is>
      </c>
      <c r="H58" s="17" t="n"/>
      <c r="I58" s="15" t="n"/>
      <c r="J58" s="15" t="n"/>
      <c r="K58" s="15" t="n"/>
      <c r="L58" s="15" t="n"/>
      <c r="M58" s="15" t="n"/>
      <c r="N58" s="16" t="n"/>
      <c r="O58" s="16" t="n"/>
      <c r="P58" s="16" t="n"/>
      <c r="Q58" s="11" t="n"/>
      <c r="R58" s="11" t="n"/>
      <c r="S58" s="15" t="n"/>
      <c r="T58" s="16" t="n"/>
      <c r="U58" s="16" t="n"/>
      <c r="V58" s="14" t="n"/>
      <c r="W58" s="14" t="n"/>
    </row>
    <row r="59" ht="17.25" customHeight="1">
      <c r="A59" s="9" t="inlineStr">
        <is>
          <t>Yataklı</t>
        </is>
      </c>
      <c r="B59" s="10" t="inlineStr">
        <is>
          <t>Yataklı_2</t>
        </is>
      </c>
      <c r="C59" s="11" t="inlineStr">
        <is>
          <t>22</t>
        </is>
      </c>
      <c r="D59" s="10" t="inlineStr">
        <is>
          <t>10011012</t>
        </is>
      </c>
      <c r="E59" s="10" t="inlineStr">
        <is>
          <t>10.n.1.21</t>
        </is>
      </c>
      <c r="F59" s="12">
        <f>IF($B$1="","",SUBSTITUTE(E59,"n",$B$1))</f>
        <v/>
      </c>
      <c r="G59" s="13" t="inlineStr">
        <is>
          <t>1.2.8</t>
        </is>
      </c>
      <c r="H59" s="17" t="n"/>
      <c r="I59" s="15" t="n"/>
      <c r="J59" s="15" t="n"/>
      <c r="K59" s="15" t="n"/>
      <c r="L59" s="15" t="n"/>
      <c r="M59" s="15" t="n"/>
      <c r="N59" s="16" t="n"/>
      <c r="O59" s="16" t="n"/>
      <c r="P59" s="16" t="n"/>
      <c r="Q59" s="11" t="n"/>
      <c r="R59" s="11" t="n"/>
      <c r="S59" s="15" t="n"/>
      <c r="T59" s="16" t="n"/>
      <c r="U59" s="16" t="n"/>
      <c r="V59" s="14" t="n"/>
      <c r="W59" s="14" t="n"/>
    </row>
    <row r="60" ht="19" customHeight="1">
      <c r="A60" s="8" t="inlineStr">
        <is>
          <t xml:space="preserve">  Announcement · Handset   ·   1 records</t>
        </is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1" t="n"/>
    </row>
    <row r="61" ht="17.25" customHeight="1">
      <c r="A61" s="9" t="inlineStr">
        <is>
          <t>Yataklı</t>
        </is>
      </c>
      <c r="B61" s="10" t="inlineStr">
        <is>
          <t>Yataklı_2</t>
        </is>
      </c>
      <c r="C61" s="11" t="inlineStr">
        <is>
          <t>23</t>
        </is>
      </c>
      <c r="D61" s="10" t="inlineStr">
        <is>
          <t>Handset</t>
        </is>
      </c>
      <c r="E61" s="10" t="inlineStr">
        <is>
          <t>10.n.1.6</t>
        </is>
      </c>
      <c r="F61" s="12">
        <f>IF($B$1="","",SUBSTITUTE(E61,"n",$B$1))</f>
        <v/>
      </c>
      <c r="G61" s="13" t="inlineStr">
        <is>
          <t>1.2.8</t>
        </is>
      </c>
      <c r="H61" s="17" t="n"/>
      <c r="I61" s="15" t="n"/>
      <c r="J61" s="15" t="n"/>
      <c r="K61" s="15" t="n"/>
      <c r="L61" s="15" t="n"/>
      <c r="M61" s="15" t="n"/>
      <c r="N61" s="16" t="n"/>
      <c r="O61" s="16" t="n"/>
      <c r="P61" s="16" t="n"/>
      <c r="Q61" s="11" t="n"/>
      <c r="R61" s="11" t="n"/>
      <c r="S61" s="15" t="n"/>
      <c r="T61" s="16" t="n"/>
      <c r="U61" s="16" t="n"/>
      <c r="V61" s="14" t="n"/>
      <c r="W61" s="14" t="n"/>
    </row>
    <row r="65" ht="16" customHeight="1"/>
  </sheetData>
  <mergeCells count="20">
    <mergeCell ref="A40:W40"/>
    <mergeCell ref="A31:W31"/>
    <mergeCell ref="C1:W1"/>
    <mergeCell ref="A34:W34"/>
    <mergeCell ref="A3:C3"/>
    <mergeCell ref="A11:W11"/>
    <mergeCell ref="A60:W60"/>
    <mergeCell ref="A36:W36"/>
    <mergeCell ref="I3:W3"/>
    <mergeCell ref="A45:W45"/>
    <mergeCell ref="A16:W16"/>
    <mergeCell ref="A2:W2"/>
    <mergeCell ref="A47:W47"/>
    <mergeCell ref="A42:W42"/>
    <mergeCell ref="D3:H3"/>
    <mergeCell ref="A14:W14"/>
    <mergeCell ref="A5:W5"/>
    <mergeCell ref="A8:W8"/>
    <mergeCell ref="A38:W38"/>
    <mergeCell ref="A19:W19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2026-08-29T07:49:41Z</dcterms:modified>
</cp:coreProperties>
</file>