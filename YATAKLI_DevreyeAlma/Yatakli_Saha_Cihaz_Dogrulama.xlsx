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Sarı hücreler elle doldurulur. Set numarası B1'e girilir; IP şablonlarındaki 'n' bu numaraya göre otomatik çözülür.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 ht="22" customHeight="1">
      <c r="A2" s="5" t="inlineStr">
        <is>
          <t>YATAKLI VAGON — SAHA CİHAZ DOĞRULAMA KONTROL LİSTESİ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20" customHeight="1">
      <c r="A3" s="6" t="inlineStr">
        <is>
          <t>FİZİKSEL KONTROL</t>
        </is>
      </c>
      <c r="B3" s="6" t="n"/>
      <c r="C3" s="6" t="n"/>
      <c r="D3" s="6" t="inlineStr">
        <is>
          <t>DOĞRULAMA KRİTERİ</t>
        </is>
      </c>
      <c r="E3" s="6" t="n"/>
      <c r="F3" s="6" t="n"/>
      <c r="G3" s="6" t="n"/>
      <c r="H3" s="6" t="n"/>
      <c r="I3" s="6" t="inlineStr">
        <is>
          <t>YAZILIM KONTROL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</row>
    <row r="4" ht="34" customHeight="1">
      <c r="A4" s="7" t="inlineStr">
        <is>
          <t>Bölüm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Cihaz Tanımı</t>
        </is>
      </c>
      <c r="E4" s="7" t="inlineStr">
        <is>
          <t>IP Şablonu</t>
        </is>
      </c>
      <c r="F4" s="7" t="inlineStr">
        <is>
          <t>Beklenen IP</t>
        </is>
      </c>
      <c r="G4" s="7" t="inlineStr">
        <is>
          <t>Beklenen Versiyon</t>
        </is>
      </c>
      <c r="H4" s="7" t="inlineStr">
        <is>
          <t>Beklenen SIP Dahili No</t>
        </is>
      </c>
      <c r="I4" s="7" t="inlineStr">
        <is>
          <t>Cihaz İsmi</t>
        </is>
      </c>
      <c r="J4" s="7" t="inlineStr">
        <is>
          <t>Bağlantı Bilgisi</t>
        </is>
      </c>
      <c r="K4" s="7" t="inlineStr">
        <is>
          <t>Versiyon</t>
        </is>
      </c>
      <c r="L4" s="7" t="inlineStr">
        <is>
          <t>Cihaz Numarası</t>
        </is>
      </c>
      <c r="M4" s="7" t="inlineStr">
        <is>
          <t>Durum Açıklaması</t>
        </is>
      </c>
      <c r="N4" s="7" t="inlineStr">
        <is>
          <t>Çalışma Süresi</t>
        </is>
      </c>
      <c r="O4" s="7" t="inlineStr">
        <is>
          <t>Hoparlör Ses Seviyesi</t>
        </is>
      </c>
      <c r="P4" s="7" t="inlineStr">
        <is>
          <t>Mikrofon Ses Seviyesi</t>
        </is>
      </c>
      <c r="Q4" s="7" t="inlineStr">
        <is>
          <t>Hoparlör Gain</t>
        </is>
      </c>
      <c r="R4" s="7" t="inlineStr">
        <is>
          <t>Mikrofon Gain</t>
        </is>
      </c>
      <c r="S4" s="7" t="inlineStr">
        <is>
          <t>SIP PBX IP</t>
        </is>
      </c>
      <c r="T4" s="7" t="inlineStr">
        <is>
          <t>SIP Dahili No</t>
        </is>
      </c>
      <c r="U4" s="7" t="inlineStr">
        <is>
          <t>SIP Arama No</t>
        </is>
      </c>
      <c r="V4" s="7" t="inlineStr">
        <is>
          <t>Saat Dilimi</t>
        </is>
      </c>
      <c r="W4" s="7" t="inlineStr">
        <is>
          <t>Ağ/Zaman Kontrolü</t>
        </is>
      </c>
    </row>
    <row r="5" ht="19" customHeight="1">
      <c r="A5" s="8" t="inlineStr">
        <is>
          <t xml:space="preserve">  SWITCH   ·   2 kayıt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 ht="17.25" customHeight="1">
      <c r="A6" s="9" t="inlineStr">
        <is>
          <t>Yataklı</t>
        </is>
      </c>
      <c r="B6" s="10" t="inlineStr">
        <is>
          <t>Yataklı_1</t>
        </is>
      </c>
      <c r="C6" s="11" t="n"/>
      <c r="D6" s="10" t="inlineStr">
        <is>
          <t>Yataklı_1</t>
        </is>
      </c>
      <c r="E6" s="10" t="inlineStr">
        <is>
          <t>10.n.1.100</t>
        </is>
      </c>
      <c r="F6" s="12">
        <f>IF($B$1="","",SUBSTITUTE(E6,"n",$B$1))</f>
        <v/>
      </c>
      <c r="G6" s="13" t="n"/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9" t="inlineStr">
        <is>
          <t>Yataklı</t>
        </is>
      </c>
      <c r="B7" s="10" t="inlineStr">
        <is>
          <t>Yataklı_2</t>
        </is>
      </c>
      <c r="C7" s="11" t="n"/>
      <c r="D7" s="10" t="inlineStr">
        <is>
          <t>Yataklı_2</t>
        </is>
      </c>
      <c r="E7" s="10" t="inlineStr">
        <is>
          <t>10.n.1.101</t>
        </is>
      </c>
      <c r="F7" s="12">
        <f>IF($B$1="","",SUBSTITUTE(E7,"n",$B$1))</f>
        <v/>
      </c>
      <c r="G7" s="13" t="n"/>
      <c r="H7" s="14" t="n"/>
      <c r="I7" s="15" t="n"/>
      <c r="J7" s="15" t="n"/>
      <c r="K7" s="15" t="n"/>
      <c r="L7" s="14" t="n"/>
      <c r="M7" s="15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9" customHeight="1">
      <c r="A8" s="8" t="inlineStr">
        <is>
          <t xml:space="preserve">  PISCU   ·   1 kayıt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</row>
    <row r="9" ht="17.25" customHeight="1">
      <c r="A9" s="9" t="inlineStr">
        <is>
          <t>Yataklı</t>
        </is>
      </c>
      <c r="B9" s="10" t="inlineStr">
        <is>
          <t>Yataklı_1</t>
        </is>
      </c>
      <c r="C9" s="11" t="n">
        <v>7</v>
      </c>
      <c r="D9" s="10" t="inlineStr">
        <is>
          <t>Piscu</t>
        </is>
      </c>
      <c r="E9" s="10" t="inlineStr">
        <is>
          <t>10.n.1.1</t>
        </is>
      </c>
      <c r="F9" s="12">
        <f>IF($B$1="","",SUBSTITUTE(E9,"n",$B$1))</f>
        <v/>
      </c>
      <c r="G9" s="13" t="n"/>
      <c r="H9" s="14" t="n"/>
      <c r="I9" s="15" t="n"/>
      <c r="J9" s="15" t="n"/>
      <c r="K9" s="15" t="n"/>
      <c r="L9" s="15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9" customHeight="1">
      <c r="A10" s="8" t="inlineStr">
        <is>
          <t xml:space="preserve">  ICU   ·   1 kayıt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</row>
    <row r="11" ht="17.25" customHeight="1">
      <c r="A11" s="9" t="inlineStr">
        <is>
          <t>Yataklı</t>
        </is>
      </c>
      <c r="B11" s="10" t="inlineStr">
        <is>
          <t>Yataklı_1</t>
        </is>
      </c>
      <c r="C11" s="11" t="n">
        <v>28</v>
      </c>
      <c r="D11" s="10" t="inlineStr">
        <is>
          <t>Icu</t>
        </is>
      </c>
      <c r="E11" s="10" t="inlineStr">
        <is>
          <t>10.n.1.2</t>
        </is>
      </c>
      <c r="F11" s="12">
        <f>IF($B$1="","",SUBSTITUTE(E11,"n",$B$1))</f>
        <v/>
      </c>
      <c r="G11" s="13" t="n"/>
      <c r="H11" s="14" t="n"/>
      <c r="I11" s="15" t="n"/>
      <c r="J11" s="15" t="n"/>
      <c r="K11" s="15" t="n"/>
      <c r="L11" s="15" t="n"/>
      <c r="M11" s="15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9" customHeight="1">
      <c r="A12" s="8" t="inlineStr">
        <is>
          <t xml:space="preserve">  HMI   ·   1 kayıt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 ht="17.25" customHeight="1">
      <c r="A13" s="9" t="inlineStr">
        <is>
          <t>Yataklı</t>
        </is>
      </c>
      <c r="B13" s="10" t="inlineStr">
        <is>
          <t>Yataklı_2</t>
        </is>
      </c>
      <c r="C13" s="11" t="n">
        <v>6</v>
      </c>
      <c r="D13" s="10" t="inlineStr">
        <is>
          <t>Hmi</t>
        </is>
      </c>
      <c r="E13" s="10" t="inlineStr">
        <is>
          <t>10.n.1.4</t>
        </is>
      </c>
      <c r="F13" s="12">
        <f>IF($B$1="","",SUBSTITUTE(E13,"n",$B$1))</f>
        <v/>
      </c>
      <c r="G13" s="13" t="n"/>
      <c r="H13" s="14" t="n"/>
      <c r="I13" s="15" t="n"/>
      <c r="J13" s="15" t="n"/>
      <c r="K13" s="15" t="n"/>
      <c r="L13" s="15" t="n"/>
      <c r="M13" s="15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9" customHeight="1">
      <c r="A14" s="8" t="inlineStr">
        <is>
          <t xml:space="preserve">  AP (Access Point)   ·   2 kayıt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 ht="17.25" customHeight="1">
      <c r="A15" s="9" t="inlineStr">
        <is>
          <t>Yataklı</t>
        </is>
      </c>
      <c r="B15" s="10" t="inlineStr">
        <is>
          <t>Yataklı_1</t>
        </is>
      </c>
      <c r="C15" s="11" t="n">
        <v>26</v>
      </c>
      <c r="D15" s="10" t="inlineStr">
        <is>
          <t>Ap_1</t>
        </is>
      </c>
      <c r="E15" s="10" t="inlineStr">
        <is>
          <t>10.n.1.7</t>
        </is>
      </c>
      <c r="F15" s="12">
        <f>IF($B$1="","",SUBSTITUTE(E15,"n",$B$1))</f>
        <v/>
      </c>
      <c r="G15" s="13" t="n"/>
      <c r="H15" s="14" t="n"/>
      <c r="I15" s="15" t="n"/>
      <c r="J15" s="15" t="n"/>
      <c r="K15" s="15" t="n"/>
      <c r="L15" s="15" t="n"/>
      <c r="M15" s="15" t="n"/>
      <c r="N15" s="16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7.25" customHeight="1">
      <c r="A16" s="9" t="inlineStr">
        <is>
          <t>Yataklı</t>
        </is>
      </c>
      <c r="B16" s="10" t="inlineStr">
        <is>
          <t>Yataklı_1</t>
        </is>
      </c>
      <c r="C16" s="11" t="n">
        <v>27</v>
      </c>
      <c r="D16" s="10" t="inlineStr">
        <is>
          <t>Ap_2</t>
        </is>
      </c>
      <c r="E16" s="10" t="inlineStr">
        <is>
          <t>10.n.1.8</t>
        </is>
      </c>
      <c r="F16" s="12">
        <f>IF($B$1="","",SUBSTITUTE(E16,"n",$B$1))</f>
        <v/>
      </c>
      <c r="G16" s="13" t="n"/>
      <c r="H16" s="14" t="n"/>
      <c r="I16" s="15" t="n"/>
      <c r="J16" s="15" t="n"/>
      <c r="K16" s="15" t="n"/>
      <c r="L16" s="15" t="n"/>
      <c r="M16" s="15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9" customHeight="1">
      <c r="A17" s="8" t="inlineStr">
        <is>
          <t xml:space="preserve">  LED · Front   ·   2 kayıt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 ht="17.25" customHeight="1">
      <c r="A18" s="9" t="inlineStr">
        <is>
          <t>Yataklı</t>
        </is>
      </c>
      <c r="B18" s="10" t="inlineStr">
        <is>
          <t>Yataklı_2</t>
        </is>
      </c>
      <c r="C18" s="11" t="n">
        <v>8</v>
      </c>
      <c r="D18" s="10" t="inlineStr">
        <is>
          <t>Led_1</t>
        </is>
      </c>
      <c r="E18" s="10" t="inlineStr">
        <is>
          <t>10.n.1.30</t>
        </is>
      </c>
      <c r="F18" s="12">
        <f>IF($B$1="","",SUBSTITUTE(E18,"n",$B$1))</f>
        <v/>
      </c>
      <c r="G18" s="13" t="n"/>
      <c r="H18" s="14" t="n"/>
      <c r="I18" s="15" t="n"/>
      <c r="J18" s="15" t="n"/>
      <c r="K18" s="15" t="n"/>
      <c r="L18" s="15" t="n"/>
      <c r="M18" s="15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 ht="17.25" customHeight="1">
      <c r="A19" s="9" t="inlineStr">
        <is>
          <t>Yataklı</t>
        </is>
      </c>
      <c r="B19" s="10" t="inlineStr">
        <is>
          <t>Yataklı_2</t>
        </is>
      </c>
      <c r="C19" s="11" t="n">
        <v>9</v>
      </c>
      <c r="D19" s="10" t="inlineStr">
        <is>
          <t>Led_2</t>
        </is>
      </c>
      <c r="E19" s="10" t="inlineStr">
        <is>
          <t>10.n.1.31</t>
        </is>
      </c>
      <c r="F19" s="12">
        <f>IF($B$1="","",SUBSTITUTE(E19,"n",$B$1))</f>
        <v/>
      </c>
      <c r="G19" s="13" t="n"/>
      <c r="H19" s="14" t="n"/>
      <c r="I19" s="15" t="n"/>
      <c r="J19" s="15" t="n"/>
      <c r="K19" s="15" t="n"/>
      <c r="L19" s="15" t="n"/>
      <c r="M19" s="15" t="n"/>
      <c r="N19" s="16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 ht="19" customHeight="1">
      <c r="A20" s="8" t="inlineStr">
        <is>
          <t xml:space="preserve">  LCD · Landing   ·   2 kayıt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 ht="17.25" customHeight="1">
      <c r="A21" s="9" t="inlineStr">
        <is>
          <t>Yataklı</t>
        </is>
      </c>
      <c r="B21" s="10" t="inlineStr">
        <is>
          <t>Yataklı_1</t>
        </is>
      </c>
      <c r="C21" s="11" t="n">
        <v>11</v>
      </c>
      <c r="D21" s="10" t="inlineStr">
        <is>
          <t>Landing_Lcd_1</t>
        </is>
      </c>
      <c r="E21" s="10" t="inlineStr">
        <is>
          <t>10.n.1.51</t>
        </is>
      </c>
      <c r="F21" s="12">
        <f>IF($B$1="","",SUBSTITUTE(E21,"n",$B$1))</f>
        <v/>
      </c>
      <c r="G21" s="13" t="n"/>
      <c r="H21" s="14" t="n"/>
      <c r="I21" s="15" t="n"/>
      <c r="J21" s="15" t="n"/>
      <c r="K21" s="15" t="n"/>
      <c r="L21" s="15" t="n"/>
      <c r="M21" s="15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 ht="17.25" customHeight="1">
      <c r="A22" s="9" t="inlineStr">
        <is>
          <t>Yataklı</t>
        </is>
      </c>
      <c r="B22" s="10" t="inlineStr">
        <is>
          <t>Yataklı_1</t>
        </is>
      </c>
      <c r="C22" s="11" t="n">
        <v>12</v>
      </c>
      <c r="D22" s="10" t="inlineStr">
        <is>
          <t>Landing_Lcd_2</t>
        </is>
      </c>
      <c r="E22" s="10" t="inlineStr">
        <is>
          <t>10.n.1.52</t>
        </is>
      </c>
      <c r="F22" s="12">
        <f>IF($B$1="","",SUBSTITUTE(E22,"n",$B$1))</f>
        <v/>
      </c>
      <c r="G22" s="13" t="n"/>
      <c r="H22" s="14" t="n"/>
      <c r="I22" s="15" t="n"/>
      <c r="J22" s="15" t="n"/>
      <c r="K22" s="15" t="n"/>
      <c r="L22" s="15" t="n"/>
      <c r="M22" s="15" t="n"/>
      <c r="N22" s="16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 ht="19" customHeight="1">
      <c r="A23" s="8" t="inlineStr">
        <is>
          <t xml:space="preserve">  LCD · Compartment   ·   11 kayıt   ·   ek alan: Saat Dilimi, SIP PBX IP, SIP Dahili No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 ht="17.25" customHeight="1">
      <c r="A24" s="9" t="inlineStr">
        <is>
          <t>Yataklı</t>
        </is>
      </c>
      <c r="B24" s="10" t="inlineStr">
        <is>
          <t>Yataklı_1</t>
        </is>
      </c>
      <c r="C24" s="11" t="n">
        <v>13</v>
      </c>
      <c r="D24" s="10" t="inlineStr">
        <is>
          <t>Compartment_Lcd_1</t>
        </is>
      </c>
      <c r="E24" s="10" t="inlineStr">
        <is>
          <t>10.n.1.40</t>
        </is>
      </c>
      <c r="F24" s="12">
        <f>IF($B$1="","",SUBSTITUTE(E24,"n",$B$1))</f>
        <v/>
      </c>
      <c r="G24" s="13" t="n"/>
      <c r="H24" s="17" t="inlineStr">
        <is>
          <t>6001</t>
        </is>
      </c>
      <c r="I24" s="15" t="n"/>
      <c r="J24" s="15" t="n"/>
      <c r="K24" s="14" t="n"/>
      <c r="L24" s="15" t="n"/>
      <c r="M24" s="15" t="n"/>
      <c r="N24" s="16" t="n"/>
      <c r="O24" s="14" t="n"/>
      <c r="P24" s="14" t="n"/>
      <c r="Q24" s="14" t="n"/>
      <c r="R24" s="14" t="n"/>
      <c r="S24" s="15" t="n"/>
      <c r="T24" s="16" t="n"/>
      <c r="U24" s="14" t="n"/>
      <c r="V24" s="15" t="n"/>
      <c r="W24" s="14" t="n"/>
    </row>
    <row r="25" ht="17.25" customHeight="1">
      <c r="A25" s="9" t="inlineStr">
        <is>
          <t>Yataklı</t>
        </is>
      </c>
      <c r="B25" s="10" t="inlineStr">
        <is>
          <t>Yataklı_1</t>
        </is>
      </c>
      <c r="C25" s="11" t="n">
        <v>14</v>
      </c>
      <c r="D25" s="10" t="inlineStr">
        <is>
          <t>Compartment_Lcd_2</t>
        </is>
      </c>
      <c r="E25" s="10" t="inlineStr">
        <is>
          <t>10.n.1.41</t>
        </is>
      </c>
      <c r="F25" s="12">
        <f>IF($B$1="","",SUBSTITUTE(E25,"n",$B$1))</f>
        <v/>
      </c>
      <c r="G25" s="13" t="n"/>
      <c r="H25" s="17" t="inlineStr">
        <is>
          <t>6002</t>
        </is>
      </c>
      <c r="I25" s="15" t="n"/>
      <c r="J25" s="15" t="n"/>
      <c r="K25" s="14" t="n"/>
      <c r="L25" s="15" t="n"/>
      <c r="M25" s="15" t="n"/>
      <c r="N25" s="16" t="n"/>
      <c r="O25" s="14" t="n"/>
      <c r="P25" s="14" t="n"/>
      <c r="Q25" s="14" t="n"/>
      <c r="R25" s="14" t="n"/>
      <c r="S25" s="15" t="n"/>
      <c r="T25" s="16" t="n"/>
      <c r="U25" s="14" t="n"/>
      <c r="V25" s="15" t="n"/>
      <c r="W25" s="14" t="n"/>
    </row>
    <row r="26" ht="17.25" customHeight="1">
      <c r="A26" s="9" t="inlineStr">
        <is>
          <t>Yataklı</t>
        </is>
      </c>
      <c r="B26" s="10" t="inlineStr">
        <is>
          <t>Yataklı_1</t>
        </is>
      </c>
      <c r="C26" s="11" t="n">
        <v>15</v>
      </c>
      <c r="D26" s="10" t="inlineStr">
        <is>
          <t>Compartment_Lcd_3</t>
        </is>
      </c>
      <c r="E26" s="10" t="inlineStr">
        <is>
          <t>10.n.1.42</t>
        </is>
      </c>
      <c r="F26" s="12">
        <f>IF($B$1="","",SUBSTITUTE(E26,"n",$B$1))</f>
        <v/>
      </c>
      <c r="G26" s="13" t="n"/>
      <c r="H26" s="17" t="inlineStr">
        <is>
          <t>6003</t>
        </is>
      </c>
      <c r="I26" s="15" t="n"/>
      <c r="J26" s="15" t="n"/>
      <c r="K26" s="14" t="n"/>
      <c r="L26" s="15" t="n"/>
      <c r="M26" s="15" t="n"/>
      <c r="N26" s="16" t="n"/>
      <c r="O26" s="14" t="n"/>
      <c r="P26" s="14" t="n"/>
      <c r="Q26" s="14" t="n"/>
      <c r="R26" s="14" t="n"/>
      <c r="S26" s="15" t="n"/>
      <c r="T26" s="16" t="n"/>
      <c r="U26" s="14" t="n"/>
      <c r="V26" s="15" t="n"/>
      <c r="W26" s="14" t="n"/>
    </row>
    <row r="27" ht="17.25" customHeight="1">
      <c r="A27" s="9" t="inlineStr">
        <is>
          <t>Yataklı</t>
        </is>
      </c>
      <c r="B27" s="10" t="inlineStr">
        <is>
          <t>Yataklı_1</t>
        </is>
      </c>
      <c r="C27" s="11" t="n">
        <v>16</v>
      </c>
      <c r="D27" s="10" t="inlineStr">
        <is>
          <t>Compartment_Lcd_4</t>
        </is>
      </c>
      <c r="E27" s="10" t="inlineStr">
        <is>
          <t>10.n.1.43</t>
        </is>
      </c>
      <c r="F27" s="12">
        <f>IF($B$1="","",SUBSTITUTE(E27,"n",$B$1))</f>
        <v/>
      </c>
      <c r="G27" s="13" t="n"/>
      <c r="H27" s="17" t="inlineStr">
        <is>
          <t>6004</t>
        </is>
      </c>
      <c r="I27" s="15" t="n"/>
      <c r="J27" s="15" t="n"/>
      <c r="K27" s="14" t="n"/>
      <c r="L27" s="15" t="n"/>
      <c r="M27" s="15" t="n"/>
      <c r="N27" s="16" t="n"/>
      <c r="O27" s="14" t="n"/>
      <c r="P27" s="14" t="n"/>
      <c r="Q27" s="14" t="n"/>
      <c r="R27" s="14" t="n"/>
      <c r="S27" s="15" t="n"/>
      <c r="T27" s="16" t="n"/>
      <c r="U27" s="14" t="n"/>
      <c r="V27" s="15" t="n"/>
      <c r="W27" s="14" t="n"/>
    </row>
    <row r="28" ht="17.25" customHeight="1">
      <c r="A28" s="9" t="inlineStr">
        <is>
          <t>Yataklı</t>
        </is>
      </c>
      <c r="B28" s="10" t="inlineStr">
        <is>
          <t>Yataklı_1</t>
        </is>
      </c>
      <c r="C28" s="11" t="n">
        <v>17</v>
      </c>
      <c r="D28" s="10" t="inlineStr">
        <is>
          <t>Compartment_Lcd_5</t>
        </is>
      </c>
      <c r="E28" s="10" t="inlineStr">
        <is>
          <t>10.n.1.44</t>
        </is>
      </c>
      <c r="F28" s="12">
        <f>IF($B$1="","",SUBSTITUTE(E28,"n",$B$1))</f>
        <v/>
      </c>
      <c r="G28" s="13" t="n"/>
      <c r="H28" s="17" t="inlineStr">
        <is>
          <t>6005</t>
        </is>
      </c>
      <c r="I28" s="15" t="n"/>
      <c r="J28" s="15" t="n"/>
      <c r="K28" s="14" t="n"/>
      <c r="L28" s="15" t="n"/>
      <c r="M28" s="15" t="n"/>
      <c r="N28" s="16" t="n"/>
      <c r="O28" s="14" t="n"/>
      <c r="P28" s="14" t="n"/>
      <c r="Q28" s="14" t="n"/>
      <c r="R28" s="14" t="n"/>
      <c r="S28" s="15" t="n"/>
      <c r="T28" s="16" t="n"/>
      <c r="U28" s="14" t="n"/>
      <c r="V28" s="15" t="n"/>
      <c r="W28" s="14" t="n"/>
    </row>
    <row r="29" ht="17.25" customHeight="1">
      <c r="A29" s="9" t="inlineStr">
        <is>
          <t>Yataklı</t>
        </is>
      </c>
      <c r="B29" s="10" t="inlineStr">
        <is>
          <t>Yataklı_1</t>
        </is>
      </c>
      <c r="C29" s="11" t="n">
        <v>18</v>
      </c>
      <c r="D29" s="10" t="inlineStr">
        <is>
          <t>Compartment_Lcd_6</t>
        </is>
      </c>
      <c r="E29" s="10" t="inlineStr">
        <is>
          <t>10.n.1.45</t>
        </is>
      </c>
      <c r="F29" s="12">
        <f>IF($B$1="","",SUBSTITUTE(E29,"n",$B$1))</f>
        <v/>
      </c>
      <c r="G29" s="13" t="n"/>
      <c r="H29" s="17" t="inlineStr">
        <is>
          <t>6006</t>
        </is>
      </c>
      <c r="I29" s="15" t="n"/>
      <c r="J29" s="15" t="n"/>
      <c r="K29" s="14" t="n"/>
      <c r="L29" s="15" t="n"/>
      <c r="M29" s="15" t="n"/>
      <c r="N29" s="16" t="n"/>
      <c r="O29" s="14" t="n"/>
      <c r="P29" s="14" t="n"/>
      <c r="Q29" s="14" t="n"/>
      <c r="R29" s="14" t="n"/>
      <c r="S29" s="15" t="n"/>
      <c r="T29" s="16" t="n"/>
      <c r="U29" s="14" t="n"/>
      <c r="V29" s="15" t="n"/>
      <c r="W29" s="14" t="n"/>
    </row>
    <row r="30" ht="17.25" customHeight="1">
      <c r="A30" s="9" t="inlineStr">
        <is>
          <t>Yataklı</t>
        </is>
      </c>
      <c r="B30" s="10" t="inlineStr">
        <is>
          <t>Yataklı_1</t>
        </is>
      </c>
      <c r="C30" s="11" t="n">
        <v>19</v>
      </c>
      <c r="D30" s="10" t="inlineStr">
        <is>
          <t>Compartment_Lcd_7</t>
        </is>
      </c>
      <c r="E30" s="10" t="inlineStr">
        <is>
          <t>10.n.1.46</t>
        </is>
      </c>
      <c r="F30" s="12">
        <f>IF($B$1="","",SUBSTITUTE(E30,"n",$B$1))</f>
        <v/>
      </c>
      <c r="G30" s="13" t="n"/>
      <c r="H30" s="17" t="inlineStr">
        <is>
          <t>6007</t>
        </is>
      </c>
      <c r="I30" s="15" t="n"/>
      <c r="J30" s="15" t="n"/>
      <c r="K30" s="14" t="n"/>
      <c r="L30" s="15" t="n"/>
      <c r="M30" s="15" t="n"/>
      <c r="N30" s="16" t="n"/>
      <c r="O30" s="14" t="n"/>
      <c r="P30" s="14" t="n"/>
      <c r="Q30" s="14" t="n"/>
      <c r="R30" s="14" t="n"/>
      <c r="S30" s="15" t="n"/>
      <c r="T30" s="16" t="n"/>
      <c r="U30" s="14" t="n"/>
      <c r="V30" s="15" t="n"/>
      <c r="W30" s="14" t="n"/>
    </row>
    <row r="31" ht="17.25" customHeight="1">
      <c r="A31" s="9" t="inlineStr">
        <is>
          <t>Yataklı</t>
        </is>
      </c>
      <c r="B31" s="10" t="inlineStr">
        <is>
          <t>Yataklı_1</t>
        </is>
      </c>
      <c r="C31" s="11" t="n">
        <v>20</v>
      </c>
      <c r="D31" s="10" t="inlineStr">
        <is>
          <t>Compartment_Lcd_8</t>
        </is>
      </c>
      <c r="E31" s="10" t="inlineStr">
        <is>
          <t>10.n.1.47</t>
        </is>
      </c>
      <c r="F31" s="12">
        <f>IF($B$1="","",SUBSTITUTE(E31,"n",$B$1))</f>
        <v/>
      </c>
      <c r="G31" s="13" t="n"/>
      <c r="H31" s="17" t="inlineStr">
        <is>
          <t>6008</t>
        </is>
      </c>
      <c r="I31" s="15" t="n"/>
      <c r="J31" s="15" t="n"/>
      <c r="K31" s="14" t="n"/>
      <c r="L31" s="15" t="n"/>
      <c r="M31" s="15" t="n"/>
      <c r="N31" s="16" t="n"/>
      <c r="O31" s="14" t="n"/>
      <c r="P31" s="14" t="n"/>
      <c r="Q31" s="14" t="n"/>
      <c r="R31" s="14" t="n"/>
      <c r="S31" s="15" t="n"/>
      <c r="T31" s="16" t="n"/>
      <c r="U31" s="14" t="n"/>
      <c r="V31" s="15" t="n"/>
      <c r="W31" s="14" t="n"/>
    </row>
    <row r="32" ht="17.25" customHeight="1">
      <c r="A32" s="9" t="inlineStr">
        <is>
          <t>Yataklı</t>
        </is>
      </c>
      <c r="B32" s="10" t="inlineStr">
        <is>
          <t>Yataklı_1</t>
        </is>
      </c>
      <c r="C32" s="11" t="n">
        <v>21</v>
      </c>
      <c r="D32" s="10" t="inlineStr">
        <is>
          <t>Compartment_Lcd_9</t>
        </is>
      </c>
      <c r="E32" s="10" t="inlineStr">
        <is>
          <t>10.n.1.48</t>
        </is>
      </c>
      <c r="F32" s="12">
        <f>IF($B$1="","",SUBSTITUTE(E32,"n",$B$1))</f>
        <v/>
      </c>
      <c r="G32" s="13" t="n"/>
      <c r="H32" s="17" t="inlineStr">
        <is>
          <t>6009</t>
        </is>
      </c>
      <c r="I32" s="15" t="n"/>
      <c r="J32" s="15" t="n"/>
      <c r="K32" s="14" t="n"/>
      <c r="L32" s="15" t="n"/>
      <c r="M32" s="15" t="n"/>
      <c r="N32" s="16" t="n"/>
      <c r="O32" s="14" t="n"/>
      <c r="P32" s="14" t="n"/>
      <c r="Q32" s="14" t="n"/>
      <c r="R32" s="14" t="n"/>
      <c r="S32" s="15" t="n"/>
      <c r="T32" s="16" t="n"/>
      <c r="U32" s="14" t="n"/>
      <c r="V32" s="15" t="n"/>
      <c r="W32" s="14" t="n"/>
    </row>
    <row r="33" ht="17.25" customHeight="1">
      <c r="A33" s="9" t="inlineStr">
        <is>
          <t>Yataklı</t>
        </is>
      </c>
      <c r="B33" s="10" t="inlineStr">
        <is>
          <t>Yataklı_1</t>
        </is>
      </c>
      <c r="C33" s="11" t="n">
        <v>22</v>
      </c>
      <c r="D33" s="10" t="inlineStr">
        <is>
          <t>Compartment_Lcd_10</t>
        </is>
      </c>
      <c r="E33" s="10" t="inlineStr">
        <is>
          <t>10.n.1.49</t>
        </is>
      </c>
      <c r="F33" s="12">
        <f>IF($B$1="","",SUBSTITUTE(E33,"n",$B$1))</f>
        <v/>
      </c>
      <c r="G33" s="13" t="n"/>
      <c r="H33" s="17" t="inlineStr">
        <is>
          <t>6010</t>
        </is>
      </c>
      <c r="I33" s="15" t="n"/>
      <c r="J33" s="15" t="n"/>
      <c r="K33" s="14" t="n"/>
      <c r="L33" s="15" t="n"/>
      <c r="M33" s="15" t="n"/>
      <c r="N33" s="16" t="n"/>
      <c r="O33" s="14" t="n"/>
      <c r="P33" s="14" t="n"/>
      <c r="Q33" s="14" t="n"/>
      <c r="R33" s="14" t="n"/>
      <c r="S33" s="15" t="n"/>
      <c r="T33" s="16" t="n"/>
      <c r="U33" s="14" t="n"/>
      <c r="V33" s="15" t="n"/>
      <c r="W33" s="14" t="n"/>
    </row>
    <row r="34" ht="17.25" customHeight="1">
      <c r="A34" s="9" t="inlineStr">
        <is>
          <t>Yataklı</t>
        </is>
      </c>
      <c r="B34" s="10" t="inlineStr">
        <is>
          <t>Yataklı_1</t>
        </is>
      </c>
      <c r="C34" s="11" t="n">
        <v>23</v>
      </c>
      <c r="D34" s="10" t="inlineStr">
        <is>
          <t>Compartment_Lcd_11</t>
        </is>
      </c>
      <c r="E34" s="10" t="inlineStr">
        <is>
          <t>10.n.1.50</t>
        </is>
      </c>
      <c r="F34" s="12">
        <f>IF($B$1="","",SUBSTITUTE(E34,"n",$B$1))</f>
        <v/>
      </c>
      <c r="G34" s="13" t="n"/>
      <c r="H34" s="17" t="inlineStr">
        <is>
          <t>6011</t>
        </is>
      </c>
      <c r="I34" s="15" t="n"/>
      <c r="J34" s="15" t="n"/>
      <c r="K34" s="14" t="n"/>
      <c r="L34" s="15" t="n"/>
      <c r="M34" s="15" t="n"/>
      <c r="N34" s="16" t="n"/>
      <c r="O34" s="14" t="n"/>
      <c r="P34" s="14" t="n"/>
      <c r="Q34" s="14" t="n"/>
      <c r="R34" s="14" t="n"/>
      <c r="S34" s="15" t="n"/>
      <c r="T34" s="16" t="n"/>
      <c r="U34" s="14" t="n"/>
      <c r="V34" s="15" t="n"/>
      <c r="W34" s="14" t="n"/>
    </row>
    <row r="35" ht="19" customHeight="1">
      <c r="A35" s="8" t="inlineStr">
        <is>
          <t xml:space="preserve">  Announcement · UIC   ·   1 kayıt   ·   ek alan: SIP PBX IP, SIP Dahili No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</row>
    <row r="36" ht="17.25" customHeight="1">
      <c r="A36" s="9" t="inlineStr">
        <is>
          <t>Yataklı</t>
        </is>
      </c>
      <c r="B36" s="10" t="inlineStr">
        <is>
          <t>Yataklı_2</t>
        </is>
      </c>
      <c r="C36" s="11" t="n">
        <v>3</v>
      </c>
      <c r="D36" s="10" t="inlineStr">
        <is>
          <t>Uic</t>
        </is>
      </c>
      <c r="E36" s="10" t="inlineStr">
        <is>
          <t>10.n.1.60</t>
        </is>
      </c>
      <c r="F36" s="12">
        <f>IF($B$1="","",SUBSTITUTE(E36,"n",$B$1))</f>
        <v/>
      </c>
      <c r="G36" s="13" t="n"/>
      <c r="H36" s="17" t="inlineStr">
        <is>
          <t>4001</t>
        </is>
      </c>
      <c r="I36" s="15" t="n"/>
      <c r="J36" s="15" t="n"/>
      <c r="K36" s="15" t="n"/>
      <c r="L36" s="15" t="n"/>
      <c r="M36" s="15" t="n"/>
      <c r="N36" s="16" t="n"/>
      <c r="O36" s="14" t="n"/>
      <c r="P36" s="14" t="n"/>
      <c r="Q36" s="14" t="n"/>
      <c r="R36" s="14" t="n"/>
      <c r="S36" s="15" t="n"/>
      <c r="T36" s="16" t="n"/>
      <c r="U36" s="14" t="n"/>
      <c r="V36" s="14" t="n"/>
      <c r="W36" s="14" t="n"/>
    </row>
    <row r="37" ht="19" customHeight="1">
      <c r="A37" s="8" t="inlineStr">
        <is>
          <t xml:space="preserve">  Announcement · Amplifier   ·   1 kayıt   ·   ek alan: Hoparlör Ses Seviyesi, Mikrofon Ses Seviyesi, Hoparlör Gain, Mikrofon Gain, SIP PBX IP, SIP Dahili No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</row>
    <row r="38" ht="17.25" customHeight="1">
      <c r="A38" s="9" t="inlineStr">
        <is>
          <t>Yataklı</t>
        </is>
      </c>
      <c r="B38" s="10" t="inlineStr">
        <is>
          <t>Yataklı_2</t>
        </is>
      </c>
      <c r="C38" s="11" t="n">
        <v>10</v>
      </c>
      <c r="D38" s="10" t="inlineStr">
        <is>
          <t>Amplifier</t>
        </is>
      </c>
      <c r="E38" s="10" t="inlineStr">
        <is>
          <t>10.n.1.5</t>
        </is>
      </c>
      <c r="F38" s="12">
        <f>IF($B$1="","",SUBSTITUTE(E38,"n",$B$1))</f>
        <v/>
      </c>
      <c r="G38" s="13" t="n"/>
      <c r="H38" s="17" t="inlineStr">
        <is>
          <t>1001</t>
        </is>
      </c>
      <c r="I38" s="15" t="n"/>
      <c r="J38" s="15" t="n"/>
      <c r="K38" s="15" t="n"/>
      <c r="L38" s="15" t="n"/>
      <c r="M38" s="15" t="n"/>
      <c r="N38" s="16" t="n"/>
      <c r="O38" s="16" t="n"/>
      <c r="P38" s="16" t="n"/>
      <c r="Q38" s="11" t="n"/>
      <c r="R38" s="11" t="n"/>
      <c r="S38" s="15" t="n"/>
      <c r="T38" s="16" t="n"/>
      <c r="U38" s="14" t="n"/>
      <c r="V38" s="14" t="n"/>
      <c r="W38" s="14" t="n"/>
    </row>
    <row r="39" ht="19" customHeight="1">
      <c r="A39" s="8" t="inlineStr">
        <is>
          <t xml:space="preserve">  Announcement · Handset   ·   1 kayıt   ·   ek alan: Hoparlör Ses Seviyesi, Mikrofon Ses Seviyesi, Hoparlör Gain, Mikrofon Gain, SIP PBX IP, SIP Dahili No, SIP Arama No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</row>
    <row r="40" ht="17.25" customHeight="1">
      <c r="A40" s="9" t="inlineStr">
        <is>
          <t>Yataklı</t>
        </is>
      </c>
      <c r="B40" s="10" t="inlineStr">
        <is>
          <t>Yataklı_2</t>
        </is>
      </c>
      <c r="C40" s="11" t="n">
        <v>23</v>
      </c>
      <c r="D40" s="10" t="inlineStr">
        <is>
          <t>Handset</t>
        </is>
      </c>
      <c r="E40" s="10" t="inlineStr">
        <is>
          <t>10.n.1.6</t>
        </is>
      </c>
      <c r="F40" s="12">
        <f>IF($B$1="","",SUBSTITUTE(E40,"n",$B$1))</f>
        <v/>
      </c>
      <c r="G40" s="13" t="n"/>
      <c r="H40" s="17" t="inlineStr">
        <is>
          <t>3001</t>
        </is>
      </c>
      <c r="I40" s="15" t="n"/>
      <c r="J40" s="15" t="n"/>
      <c r="K40" s="15" t="n"/>
      <c r="L40" s="15" t="n"/>
      <c r="M40" s="15" t="n"/>
      <c r="N40" s="16" t="n"/>
      <c r="O40" s="16" t="n"/>
      <c r="P40" s="16" t="n"/>
      <c r="Q40" s="11" t="n"/>
      <c r="R40" s="11" t="n"/>
      <c r="S40" s="15" t="n"/>
      <c r="T40" s="16" t="n"/>
      <c r="U40" s="16" t="n"/>
      <c r="V40" s="14" t="n"/>
      <c r="W40" s="14" t="n"/>
    </row>
    <row r="41" ht="19" customHeight="1">
      <c r="A41" s="8" t="inlineStr">
        <is>
          <t xml:space="preserve">  Announcement · Intercom   ·   12 kayıt   ·   ek alan: Hoparlör Ses Seviyesi, Mikrofon Ses Seviyesi, Hoparlör Gain, Mikrofon Gain, SIP PBX IP, SIP Dahili No, SIP Arama No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 ht="17.25" customHeight="1">
      <c r="A42" s="9" t="inlineStr">
        <is>
          <t>Yataklı</t>
        </is>
      </c>
      <c r="B42" s="10" t="inlineStr">
        <is>
          <t>Yataklı_2</t>
        </is>
      </c>
      <c r="C42" s="11" t="n">
        <v>11</v>
      </c>
      <c r="D42" s="10" t="inlineStr">
        <is>
          <t>10011001</t>
        </is>
      </c>
      <c r="E42" s="10" t="inlineStr">
        <is>
          <t>10.n.1.10</t>
        </is>
      </c>
      <c r="F42" s="12">
        <f>IF($B$1="","",SUBSTITUTE(E42,"n",$B$1))</f>
        <v/>
      </c>
      <c r="G42" s="13" t="n"/>
      <c r="H42" s="17" t="inlineStr">
        <is>
          <t>2001</t>
        </is>
      </c>
      <c r="I42" s="15" t="n"/>
      <c r="J42" s="15" t="n"/>
      <c r="K42" s="15" t="n"/>
      <c r="L42" s="15" t="n"/>
      <c r="M42" s="15" t="n"/>
      <c r="N42" s="16" t="n"/>
      <c r="O42" s="16" t="n"/>
      <c r="P42" s="16" t="n"/>
      <c r="Q42" s="11" t="n"/>
      <c r="R42" s="11" t="n"/>
      <c r="S42" s="15" t="n"/>
      <c r="T42" s="16" t="n"/>
      <c r="U42" s="16" t="n"/>
      <c r="V42" s="14" t="n"/>
      <c r="W42" s="14" t="n"/>
    </row>
    <row r="43" ht="17.25" customHeight="1">
      <c r="A43" s="9" t="inlineStr">
        <is>
          <t>Yataklı</t>
        </is>
      </c>
      <c r="B43" s="10" t="inlineStr">
        <is>
          <t>Yataklı_2</t>
        </is>
      </c>
      <c r="C43" s="11" t="n">
        <v>12</v>
      </c>
      <c r="D43" s="10" t="inlineStr">
        <is>
          <t>10011002</t>
        </is>
      </c>
      <c r="E43" s="10" t="inlineStr">
        <is>
          <t>10.n.1.11</t>
        </is>
      </c>
      <c r="F43" s="12">
        <f>IF($B$1="","",SUBSTITUTE(E43,"n",$B$1))</f>
        <v/>
      </c>
      <c r="G43" s="13" t="n"/>
      <c r="H43" s="17" t="inlineStr">
        <is>
          <t>2002</t>
        </is>
      </c>
      <c r="I43" s="15" t="n"/>
      <c r="J43" s="15" t="n"/>
      <c r="K43" s="15" t="n"/>
      <c r="L43" s="15" t="n"/>
      <c r="M43" s="15" t="n"/>
      <c r="N43" s="16" t="n"/>
      <c r="O43" s="16" t="n"/>
      <c r="P43" s="16" t="n"/>
      <c r="Q43" s="11" t="n"/>
      <c r="R43" s="11" t="n"/>
      <c r="S43" s="15" t="n"/>
      <c r="T43" s="16" t="n"/>
      <c r="U43" s="16" t="n"/>
      <c r="V43" s="14" t="n"/>
      <c r="W43" s="14" t="n"/>
    </row>
    <row r="44" ht="17.25" customHeight="1">
      <c r="A44" s="9" t="inlineStr">
        <is>
          <t>Yataklı</t>
        </is>
      </c>
      <c r="B44" s="10" t="inlineStr">
        <is>
          <t>Yataklı_2</t>
        </is>
      </c>
      <c r="C44" s="11" t="n">
        <v>13</v>
      </c>
      <c r="D44" s="10" t="inlineStr">
        <is>
          <t>10011003</t>
        </is>
      </c>
      <c r="E44" s="10" t="inlineStr">
        <is>
          <t>10.n.1.12</t>
        </is>
      </c>
      <c r="F44" s="12">
        <f>IF($B$1="","",SUBSTITUTE(E44,"n",$B$1))</f>
        <v/>
      </c>
      <c r="G44" s="13" t="n"/>
      <c r="H44" s="17" t="inlineStr">
        <is>
          <t>2003</t>
        </is>
      </c>
      <c r="I44" s="15" t="n"/>
      <c r="J44" s="15" t="n"/>
      <c r="K44" s="15" t="n"/>
      <c r="L44" s="15" t="n"/>
      <c r="M44" s="15" t="n"/>
      <c r="N44" s="16" t="n"/>
      <c r="O44" s="16" t="n"/>
      <c r="P44" s="16" t="n"/>
      <c r="Q44" s="11" t="n"/>
      <c r="R44" s="11" t="n"/>
      <c r="S44" s="15" t="n"/>
      <c r="T44" s="16" t="n"/>
      <c r="U44" s="16" t="n"/>
      <c r="V44" s="14" t="n"/>
      <c r="W44" s="14" t="n"/>
    </row>
    <row r="45" ht="17.25" customHeight="1">
      <c r="A45" s="9" t="inlineStr">
        <is>
          <t>Yataklı</t>
        </is>
      </c>
      <c r="B45" s="10" t="inlineStr">
        <is>
          <t>Yataklı_2</t>
        </is>
      </c>
      <c r="C45" s="11" t="n">
        <v>14</v>
      </c>
      <c r="D45" s="10" t="inlineStr">
        <is>
          <t>10011004</t>
        </is>
      </c>
      <c r="E45" s="10" t="inlineStr">
        <is>
          <t>10.n.1.13</t>
        </is>
      </c>
      <c r="F45" s="12">
        <f>IF($B$1="","",SUBSTITUTE(E45,"n",$B$1))</f>
        <v/>
      </c>
      <c r="G45" s="13" t="n"/>
      <c r="H45" s="17" t="inlineStr">
        <is>
          <t>2004</t>
        </is>
      </c>
      <c r="I45" s="15" t="n"/>
      <c r="J45" s="15" t="n"/>
      <c r="K45" s="15" t="n"/>
      <c r="L45" s="15" t="n"/>
      <c r="M45" s="15" t="n"/>
      <c r="N45" s="16" t="n"/>
      <c r="O45" s="16" t="n"/>
      <c r="P45" s="16" t="n"/>
      <c r="Q45" s="11" t="n"/>
      <c r="R45" s="11" t="n"/>
      <c r="S45" s="15" t="n"/>
      <c r="T45" s="16" t="n"/>
      <c r="U45" s="16" t="n"/>
      <c r="V45" s="14" t="n"/>
      <c r="W45" s="14" t="n"/>
    </row>
    <row r="46" ht="17.25" customHeight="1">
      <c r="A46" s="9" t="inlineStr">
        <is>
          <t>Yataklı</t>
        </is>
      </c>
      <c r="B46" s="10" t="inlineStr">
        <is>
          <t>Yataklı_2</t>
        </is>
      </c>
      <c r="C46" s="11" t="n">
        <v>15</v>
      </c>
      <c r="D46" s="10" t="inlineStr">
        <is>
          <t>10011005</t>
        </is>
      </c>
      <c r="E46" s="10" t="inlineStr">
        <is>
          <t>10.n.1.14</t>
        </is>
      </c>
      <c r="F46" s="12">
        <f>IF($B$1="","",SUBSTITUTE(E46,"n",$B$1))</f>
        <v/>
      </c>
      <c r="G46" s="13" t="n"/>
      <c r="H46" s="17" t="inlineStr">
        <is>
          <t>2005</t>
        </is>
      </c>
      <c r="I46" s="15" t="n"/>
      <c r="J46" s="15" t="n"/>
      <c r="K46" s="15" t="n"/>
      <c r="L46" s="15" t="n"/>
      <c r="M46" s="15" t="n"/>
      <c r="N46" s="16" t="n"/>
      <c r="O46" s="16" t="n"/>
      <c r="P46" s="16" t="n"/>
      <c r="Q46" s="11" t="n"/>
      <c r="R46" s="11" t="n"/>
      <c r="S46" s="15" t="n"/>
      <c r="T46" s="16" t="n"/>
      <c r="U46" s="16" t="n"/>
      <c r="V46" s="14" t="n"/>
      <c r="W46" s="14" t="n"/>
    </row>
    <row r="47" ht="17.25" customHeight="1">
      <c r="A47" s="9" t="inlineStr">
        <is>
          <t>Yataklı</t>
        </is>
      </c>
      <c r="B47" s="10" t="inlineStr">
        <is>
          <t>Yataklı_2</t>
        </is>
      </c>
      <c r="C47" s="11" t="n">
        <v>16</v>
      </c>
      <c r="D47" s="10" t="inlineStr">
        <is>
          <t>10011006</t>
        </is>
      </c>
      <c r="E47" s="10" t="inlineStr">
        <is>
          <t>10.n.1.15</t>
        </is>
      </c>
      <c r="F47" s="12">
        <f>IF($B$1="","",SUBSTITUTE(E47,"n",$B$1))</f>
        <v/>
      </c>
      <c r="G47" s="13" t="n"/>
      <c r="H47" s="17" t="inlineStr">
        <is>
          <t>2006</t>
        </is>
      </c>
      <c r="I47" s="15" t="n"/>
      <c r="J47" s="15" t="n"/>
      <c r="K47" s="15" t="n"/>
      <c r="L47" s="15" t="n"/>
      <c r="M47" s="15" t="n"/>
      <c r="N47" s="16" t="n"/>
      <c r="O47" s="16" t="n"/>
      <c r="P47" s="16" t="n"/>
      <c r="Q47" s="11" t="n"/>
      <c r="R47" s="11" t="n"/>
      <c r="S47" s="15" t="n"/>
      <c r="T47" s="16" t="n"/>
      <c r="U47" s="16" t="n"/>
      <c r="V47" s="14" t="n"/>
      <c r="W47" s="14" t="n"/>
    </row>
    <row r="48" ht="17.25" customHeight="1">
      <c r="A48" s="9" t="inlineStr">
        <is>
          <t>Yataklı</t>
        </is>
      </c>
      <c r="B48" s="10" t="inlineStr">
        <is>
          <t>Yataklı_2</t>
        </is>
      </c>
      <c r="C48" s="11" t="n">
        <v>17</v>
      </c>
      <c r="D48" s="10" t="inlineStr">
        <is>
          <t>10011007</t>
        </is>
      </c>
      <c r="E48" s="10" t="inlineStr">
        <is>
          <t>10.n.1.16</t>
        </is>
      </c>
      <c r="F48" s="12">
        <f>IF($B$1="","",SUBSTITUTE(E48,"n",$B$1))</f>
        <v/>
      </c>
      <c r="G48" s="13" t="n"/>
      <c r="H48" s="17" t="inlineStr">
        <is>
          <t>2007</t>
        </is>
      </c>
      <c r="I48" s="15" t="n"/>
      <c r="J48" s="15" t="n"/>
      <c r="K48" s="15" t="n"/>
      <c r="L48" s="15" t="n"/>
      <c r="M48" s="15" t="n"/>
      <c r="N48" s="16" t="n"/>
      <c r="O48" s="16" t="n"/>
      <c r="P48" s="16" t="n"/>
      <c r="Q48" s="11" t="n"/>
      <c r="R48" s="11" t="n"/>
      <c r="S48" s="15" t="n"/>
      <c r="T48" s="16" t="n"/>
      <c r="U48" s="16" t="n"/>
      <c r="V48" s="14" t="n"/>
      <c r="W48" s="14" t="n"/>
    </row>
    <row r="49" ht="17.25" customHeight="1">
      <c r="A49" s="9" t="inlineStr">
        <is>
          <t>Yataklı</t>
        </is>
      </c>
      <c r="B49" s="10" t="inlineStr">
        <is>
          <t>Yataklı_2</t>
        </is>
      </c>
      <c r="C49" s="11" t="n">
        <v>18</v>
      </c>
      <c r="D49" s="10" t="inlineStr">
        <is>
          <t>10011008</t>
        </is>
      </c>
      <c r="E49" s="10" t="inlineStr">
        <is>
          <t>10.n.1.17</t>
        </is>
      </c>
      <c r="F49" s="12">
        <f>IF($B$1="","",SUBSTITUTE(E49,"n",$B$1))</f>
        <v/>
      </c>
      <c r="G49" s="13" t="n"/>
      <c r="H49" s="17" t="inlineStr">
        <is>
          <t>2008</t>
        </is>
      </c>
      <c r="I49" s="15" t="n"/>
      <c r="J49" s="15" t="n"/>
      <c r="K49" s="15" t="n"/>
      <c r="L49" s="15" t="n"/>
      <c r="M49" s="15" t="n"/>
      <c r="N49" s="16" t="n"/>
      <c r="O49" s="16" t="n"/>
      <c r="P49" s="16" t="n"/>
      <c r="Q49" s="11" t="n"/>
      <c r="R49" s="11" t="n"/>
      <c r="S49" s="15" t="n"/>
      <c r="T49" s="16" t="n"/>
      <c r="U49" s="16" t="n"/>
      <c r="V49" s="14" t="n"/>
      <c r="W49" s="14" t="n"/>
    </row>
    <row r="50" ht="17.25" customHeight="1">
      <c r="A50" s="9" t="inlineStr">
        <is>
          <t>Yataklı</t>
        </is>
      </c>
      <c r="B50" s="10" t="inlineStr">
        <is>
          <t>Yataklı_2</t>
        </is>
      </c>
      <c r="C50" s="11" t="n">
        <v>19</v>
      </c>
      <c r="D50" s="10" t="inlineStr">
        <is>
          <t>10011009</t>
        </is>
      </c>
      <c r="E50" s="10" t="inlineStr">
        <is>
          <t>10.n.1.18</t>
        </is>
      </c>
      <c r="F50" s="12">
        <f>IF($B$1="","",SUBSTITUTE(E50,"n",$B$1))</f>
        <v/>
      </c>
      <c r="G50" s="13" t="n"/>
      <c r="H50" s="17" t="inlineStr">
        <is>
          <t>2009</t>
        </is>
      </c>
      <c r="I50" s="15" t="n"/>
      <c r="J50" s="15" t="n"/>
      <c r="K50" s="15" t="n"/>
      <c r="L50" s="15" t="n"/>
      <c r="M50" s="15" t="n"/>
      <c r="N50" s="16" t="n"/>
      <c r="O50" s="16" t="n"/>
      <c r="P50" s="16" t="n"/>
      <c r="Q50" s="11" t="n"/>
      <c r="R50" s="11" t="n"/>
      <c r="S50" s="15" t="n"/>
      <c r="T50" s="16" t="n"/>
      <c r="U50" s="16" t="n"/>
      <c r="V50" s="14" t="n"/>
      <c r="W50" s="14" t="n"/>
    </row>
    <row r="51" ht="17.25" customHeight="1">
      <c r="A51" s="9" t="inlineStr">
        <is>
          <t>Yataklı</t>
        </is>
      </c>
      <c r="B51" s="10" t="inlineStr">
        <is>
          <t>Yataklı_2</t>
        </is>
      </c>
      <c r="C51" s="11" t="n">
        <v>20</v>
      </c>
      <c r="D51" s="10" t="inlineStr">
        <is>
          <t>10011010</t>
        </is>
      </c>
      <c r="E51" s="10" t="inlineStr">
        <is>
          <t>10.n.1.19</t>
        </is>
      </c>
      <c r="F51" s="12">
        <f>IF($B$1="","",SUBSTITUTE(E51,"n",$B$1))</f>
        <v/>
      </c>
      <c r="G51" s="13" t="n"/>
      <c r="H51" s="17" t="inlineStr">
        <is>
          <t>2010</t>
        </is>
      </c>
      <c r="I51" s="15" t="n"/>
      <c r="J51" s="15" t="n"/>
      <c r="K51" s="15" t="n"/>
      <c r="L51" s="15" t="n"/>
      <c r="M51" s="15" t="n"/>
      <c r="N51" s="16" t="n"/>
      <c r="O51" s="16" t="n"/>
      <c r="P51" s="16" t="n"/>
      <c r="Q51" s="11" t="n"/>
      <c r="R51" s="11" t="n"/>
      <c r="S51" s="15" t="n"/>
      <c r="T51" s="16" t="n"/>
      <c r="U51" s="16" t="n"/>
      <c r="V51" s="14" t="n"/>
      <c r="W51" s="14" t="n"/>
    </row>
    <row r="52" ht="17.25" customHeight="1">
      <c r="A52" s="9" t="inlineStr">
        <is>
          <t>Yataklı</t>
        </is>
      </c>
      <c r="B52" s="10" t="inlineStr">
        <is>
          <t>Yataklı_2</t>
        </is>
      </c>
      <c r="C52" s="11" t="n">
        <v>21</v>
      </c>
      <c r="D52" s="10" t="inlineStr">
        <is>
          <t>10011011</t>
        </is>
      </c>
      <c r="E52" s="10" t="inlineStr">
        <is>
          <t>10.n.1.20</t>
        </is>
      </c>
      <c r="F52" s="12">
        <f>IF($B$1="","",SUBSTITUTE(E52,"n",$B$1))</f>
        <v/>
      </c>
      <c r="G52" s="13" t="n"/>
      <c r="H52" s="17" t="inlineStr">
        <is>
          <t>2011</t>
        </is>
      </c>
      <c r="I52" s="15" t="n"/>
      <c r="J52" s="15" t="n"/>
      <c r="K52" s="15" t="n"/>
      <c r="L52" s="15" t="n"/>
      <c r="M52" s="15" t="n"/>
      <c r="N52" s="16" t="n"/>
      <c r="O52" s="16" t="n"/>
      <c r="P52" s="16" t="n"/>
      <c r="Q52" s="11" t="n"/>
      <c r="R52" s="11" t="n"/>
      <c r="S52" s="15" t="n"/>
      <c r="T52" s="16" t="n"/>
      <c r="U52" s="16" t="n"/>
      <c r="V52" s="14" t="n"/>
      <c r="W52" s="14" t="n"/>
    </row>
    <row r="53" ht="17.25" customHeight="1">
      <c r="A53" s="9" t="inlineStr">
        <is>
          <t>Yataklı</t>
        </is>
      </c>
      <c r="B53" s="10" t="inlineStr">
        <is>
          <t>Yataklı_2</t>
        </is>
      </c>
      <c r="C53" s="11" t="n">
        <v>22</v>
      </c>
      <c r="D53" s="10" t="inlineStr">
        <is>
          <t>10011012</t>
        </is>
      </c>
      <c r="E53" s="10" t="inlineStr">
        <is>
          <t>10.n.1.21</t>
        </is>
      </c>
      <c r="F53" s="12">
        <f>IF($B$1="","",SUBSTITUTE(E53,"n",$B$1))</f>
        <v/>
      </c>
      <c r="G53" s="13" t="n"/>
      <c r="H53" s="17" t="inlineStr">
        <is>
          <t>2012</t>
        </is>
      </c>
      <c r="I53" s="15" t="n"/>
      <c r="J53" s="15" t="n"/>
      <c r="K53" s="15" t="n"/>
      <c r="L53" s="15" t="n"/>
      <c r="M53" s="15" t="n"/>
      <c r="N53" s="16" t="n"/>
      <c r="O53" s="16" t="n"/>
      <c r="P53" s="16" t="n"/>
      <c r="Q53" s="11" t="n"/>
      <c r="R53" s="11" t="n"/>
      <c r="S53" s="15" t="n"/>
      <c r="T53" s="16" t="n"/>
      <c r="U53" s="16" t="n"/>
      <c r="V53" s="14" t="n"/>
      <c r="W53" s="14" t="n"/>
    </row>
    <row r="54" ht="19" customHeight="1">
      <c r="A54" s="8" t="inlineStr">
        <is>
          <t xml:space="preserve">  Camera · Corridor   ·   2 kayıt   ·   ek alan: Ağ/Zaman Kontrolü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</row>
    <row r="55" ht="17.25" customHeight="1">
      <c r="A55" s="9" t="inlineStr">
        <is>
          <t>Yataklı</t>
        </is>
      </c>
      <c r="B55" s="10" t="inlineStr">
        <is>
          <t>Yataklı_1</t>
        </is>
      </c>
      <c r="C55" s="11" t="n">
        <v>1</v>
      </c>
      <c r="D55" s="10" t="inlineStr">
        <is>
          <t>Corridor_Cam_1</t>
        </is>
      </c>
      <c r="E55" s="10" t="inlineStr">
        <is>
          <t>10.n.1.24</t>
        </is>
      </c>
      <c r="F55" s="12">
        <f>IF($B$1="","",SUBSTITUTE(E55,"n",$B$1))</f>
        <v/>
      </c>
      <c r="G55" s="13" t="n"/>
      <c r="H55" s="14" t="n"/>
      <c r="I55" s="15" t="n"/>
      <c r="J55" s="15" t="n"/>
      <c r="K55" s="15" t="n"/>
      <c r="L55" s="15" t="n"/>
      <c r="M55" s="15" t="n"/>
      <c r="N55" s="16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5" t="n"/>
    </row>
    <row r="56" ht="17.25" customHeight="1">
      <c r="A56" s="9" t="inlineStr">
        <is>
          <t>Yataklı</t>
        </is>
      </c>
      <c r="B56" s="10" t="inlineStr">
        <is>
          <t>Yataklı_1</t>
        </is>
      </c>
      <c r="C56" s="11" t="n">
        <v>2</v>
      </c>
      <c r="D56" s="10" t="inlineStr">
        <is>
          <t>Corridor_Cam_2</t>
        </is>
      </c>
      <c r="E56" s="10" t="inlineStr">
        <is>
          <t>10.n.1.25</t>
        </is>
      </c>
      <c r="F56" s="12">
        <f>IF($B$1="","",SUBSTITUTE(E56,"n",$B$1))</f>
        <v/>
      </c>
      <c r="G56" s="13" t="n"/>
      <c r="H56" s="14" t="n"/>
      <c r="I56" s="15" t="n"/>
      <c r="J56" s="15" t="n"/>
      <c r="K56" s="15" t="n"/>
      <c r="L56" s="15" t="n"/>
      <c r="M56" s="15" t="n"/>
      <c r="N56" s="16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5" t="n"/>
    </row>
    <row r="57" ht="19" customHeight="1">
      <c r="A57" s="8" t="inlineStr">
        <is>
          <t xml:space="preserve">  Camera · Landing   ·   2 kayıt   ·   ek alan: Ağ/Zaman Kontrolü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</row>
    <row r="58" ht="17.25" customHeight="1">
      <c r="A58" s="9" t="inlineStr">
        <is>
          <t>Yataklı</t>
        </is>
      </c>
      <c r="B58" s="10" t="inlineStr">
        <is>
          <t>Yataklı_1</t>
        </is>
      </c>
      <c r="C58" s="11" t="n">
        <v>3</v>
      </c>
      <c r="D58" s="10" t="inlineStr">
        <is>
          <t>Landing_Cam_1</t>
        </is>
      </c>
      <c r="E58" s="10" t="inlineStr">
        <is>
          <t>10.n.1.26</t>
        </is>
      </c>
      <c r="F58" s="12">
        <f>IF($B$1="","",SUBSTITUTE(E58,"n",$B$1))</f>
        <v/>
      </c>
      <c r="G58" s="13" t="n"/>
      <c r="H58" s="14" t="n"/>
      <c r="I58" s="15" t="n"/>
      <c r="J58" s="15" t="n"/>
      <c r="K58" s="15" t="n"/>
      <c r="L58" s="15" t="n"/>
      <c r="M58" s="15" t="n"/>
      <c r="N58" s="16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5" t="n"/>
    </row>
    <row r="59" ht="17.25" customHeight="1">
      <c r="A59" s="9" t="inlineStr">
        <is>
          <t>Yataklı</t>
        </is>
      </c>
      <c r="B59" s="10" t="inlineStr">
        <is>
          <t>Yataklı_1</t>
        </is>
      </c>
      <c r="C59" s="11" t="n">
        <v>4</v>
      </c>
      <c r="D59" s="10" t="inlineStr">
        <is>
          <t>Landing_Cam_2</t>
        </is>
      </c>
      <c r="E59" s="10" t="inlineStr">
        <is>
          <t>10.n.1.27</t>
        </is>
      </c>
      <c r="F59" s="12">
        <f>IF($B$1="","",SUBSTITUTE(E59,"n",$B$1))</f>
        <v/>
      </c>
      <c r="G59" s="13" t="n"/>
      <c r="H59" s="14" t="n"/>
      <c r="I59" s="15" t="n"/>
      <c r="J59" s="15" t="n"/>
      <c r="K59" s="15" t="n"/>
      <c r="L59" s="15" t="n"/>
      <c r="M59" s="15" t="n"/>
      <c r="N59" s="16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5" t="n"/>
    </row>
    <row r="60" ht="19" customHeight="1">
      <c r="A60" s="8" t="inlineStr">
        <is>
          <t xml:space="preserve">  NVR   ·   1 kayıt   ·   ek alan: Ağ/Zaman Kontrolü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</row>
    <row r="61" ht="17.25" customHeight="1">
      <c r="A61" s="9" t="inlineStr">
        <is>
          <t>Yataklı</t>
        </is>
      </c>
      <c r="B61" s="10" t="inlineStr">
        <is>
          <t>Yataklı_2</t>
        </is>
      </c>
      <c r="C61" s="11" t="n">
        <v>5</v>
      </c>
      <c r="D61" s="10" t="inlineStr">
        <is>
          <t>Nvr</t>
        </is>
      </c>
      <c r="E61" s="10" t="inlineStr">
        <is>
          <t>10.n.1.3</t>
        </is>
      </c>
      <c r="F61" s="12">
        <f>IF($B$1="","",SUBSTITUTE(E61,"n",$B$1))</f>
        <v/>
      </c>
      <c r="G61" s="13" t="n"/>
      <c r="H61" s="14" t="n"/>
      <c r="I61" s="15" t="n"/>
      <c r="J61" s="15" t="n"/>
      <c r="K61" s="15" t="n"/>
      <c r="L61" s="15" t="n"/>
      <c r="M61" s="15" t="n"/>
      <c r="N61" s="16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5" t="n"/>
    </row>
    <row r="64">
      <c r="A64" s="6" t="inlineStr">
        <is>
          <t>SONUÇ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 ht="16" customHeight="1">
      <c r="A65" s="18" t="inlineStr">
        <is>
          <t>Toplam Kayıt</t>
        </is>
      </c>
      <c r="B65" s="19">
        <f>COUNTIF(A6:A61,"Yataklı")</f>
        <v/>
      </c>
      <c r="C65" s="18" t="inlineStr">
        <is>
          <t>Versiyon Girilmeyen</t>
        </is>
      </c>
      <c r="D65" s="19">
        <f>COUNTIF(A6:A61,"Yataklı")-COUNTA(G6:G61)</f>
        <v/>
      </c>
      <c r="E65" s="18" t="inlineStr">
        <is>
          <t>Bağlantı Bekleyen</t>
        </is>
      </c>
      <c r="F65" s="19">
        <f>COUNTIF(A6:A61,"Yataklı")-COUNTA(J6:J61)</f>
        <v/>
      </c>
      <c r="G65" s="18" t="inlineStr">
        <is>
          <t>Aktif</t>
        </is>
      </c>
      <c r="H65" s="19">
        <f>COUNTIF(M6:M61,"Aktif")</f>
        <v/>
      </c>
      <c r="I65" s="18" t="inlineStr">
        <is>
          <t>Pasif</t>
        </is>
      </c>
      <c r="J65" s="19">
        <f>COUNTIF(M6:M61,"Pasif*")</f>
        <v/>
      </c>
      <c r="K65" s="18" t="inlineStr">
        <is>
          <t>Genel Sonuç</t>
        </is>
      </c>
      <c r="L65" s="19">
        <f>IF(COUNTIF(M6:M61,"Pasif*")&gt;0,"UYGUN DEĞİL",IF(COUNTA(J6:J61)&lt;COUNTIF(A6:A61,"Yataklı"),"KONTROL BEKLİYOR","UYGUN"))</f>
        <v/>
      </c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</row>
  </sheetData>
  <mergeCells count="22">
    <mergeCell ref="C1:W1"/>
    <mergeCell ref="A39:W39"/>
    <mergeCell ref="A3:C3"/>
    <mergeCell ref="A64:W64"/>
    <mergeCell ref="A60:W60"/>
    <mergeCell ref="I3:W3"/>
    <mergeCell ref="A54:W54"/>
    <mergeCell ref="A41:W41"/>
    <mergeCell ref="A37:W37"/>
    <mergeCell ref="A12:W12"/>
    <mergeCell ref="L65:W65"/>
    <mergeCell ref="A57:W57"/>
    <mergeCell ref="A2:W2"/>
    <mergeCell ref="D3:H3"/>
    <mergeCell ref="A14:W14"/>
    <mergeCell ref="A5:W5"/>
    <mergeCell ref="A17:W17"/>
    <mergeCell ref="A23:W23"/>
    <mergeCell ref="A8:W8"/>
    <mergeCell ref="A35:W35"/>
    <mergeCell ref="A20:W20"/>
    <mergeCell ref="A10:W10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2026-07-31T07:53:57Z</dcterms:modified>
</cp:coreProperties>
</file>